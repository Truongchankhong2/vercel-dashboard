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39019" documentId="8_{BC9E03AF-875C-4F7B-B632-8C15CEE753D9}" xr6:coauthVersionLast="47" xr6:coauthVersionMax="47" xr10:uidLastSave="{02698992-6996-4A55-9CCD-85EA01C21217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2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11" i="3" s="1"/>
  <c r="E16" i="3" s="1"/>
  <c r="E21" i="3" s="1"/>
  <c r="E10" i="3"/>
  <c r="E15" i="3" s="1"/>
  <c r="E20" i="3" s="1"/>
  <c r="B10" i="3"/>
  <c r="B15" i="3" s="1"/>
  <c r="B20" i="3" s="1"/>
  <c r="B25" i="3" s="1"/>
  <c r="B8" i="3"/>
  <c r="B13" i="3" s="1"/>
  <c r="B18" i="3" s="1"/>
  <c r="B9" i="3"/>
  <c r="B14" i="3" s="1"/>
  <c r="B19" i="3" s="1"/>
  <c r="B24" i="3" s="1"/>
  <c r="D8" i="3"/>
  <c r="D18" i="3" s="1"/>
  <c r="D23" i="3" s="1"/>
  <c r="D7" i="3"/>
  <c r="D17" i="3" s="1"/>
  <c r="B7" i="3"/>
  <c r="B12" i="3" s="1"/>
  <c r="B17" i="3" s="1"/>
</calcChain>
</file>

<file path=xl/sharedStrings.xml><?xml version="1.0" encoding="utf-8"?>
<sst xmlns="http://schemas.openxmlformats.org/spreadsheetml/2006/main" count="2488" uniqueCount="1196">
  <si>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</si>
  <si>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</si>
  <si>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</si>
  <si>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</si>
  <si>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</si>
  <si>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</si>
  <si>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</si>
  <si>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</si>
  <si>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</si>
  <si>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</si>
  <si>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</si>
  <si>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</si>
  <si>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</si>
  <si>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</si>
  <si>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</si>
  <si>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</si>
  <si>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</si>
  <si>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</si>
  <si>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</si>
  <si>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</si>
  <si>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</si>
  <si>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</si>
  <si>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</si>
  <si>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</si>
  <si>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</si>
  <si>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</si>
  <si>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</si>
  <si>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</si>
  <si>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</si>
  <si>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</si>
  <si>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</si>
  <si>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</si>
  <si>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</si>
  <si>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</si>
  <si>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</si>
  <si>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</si>
  <si>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</si>
  <si>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</si>
  <si>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</si>
  <si>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</si>
  <si>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</si>
  <si>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</si>
  <si>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</si>
  <si>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</si>
  <si>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</si>
  <si>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</si>
  <si>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</si>
  <si>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</si>
  <si>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</si>
  <si>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</si>
  <si>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</si>
  <si>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</si>
  <si>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</si>
  <si>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</si>
  <si>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</si>
  <si>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</si>
  <si>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</si>
  <si>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</si>
  <si>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</si>
  <si>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</si>
  <si>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</si>
  <si>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</si>
  <si>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</si>
  <si>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</si>
  <si>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</si>
  <si>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</si>
  <si>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</si>
  <si>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</si>
  <si>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</si>
  <si>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</si>
  <si>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</si>
  <si>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</si>
  <si>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</si>
  <si>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</si>
  <si>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</si>
  <si>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</si>
  <si>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</si>
  <si>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</si>
  <si>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</si>
  <si>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</si>
  <si>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</si>
  <si>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</si>
  <si>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</si>
  <si>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</si>
  <si>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</si>
  <si>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</si>
  <si>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</si>
  <si>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</si>
  <si>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</si>
  <si>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</si>
  <si>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</si>
  <si>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</si>
  <si>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</si>
  <si>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</si>
  <si>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</si>
  <si>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</si>
  <si>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</si>
  <si>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</si>
  <si>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</si>
  <si>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</si>
  <si>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</si>
  <si>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</si>
  <si>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</si>
  <si>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</si>
  <si>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</si>
  <si>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</si>
  <si>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</si>
  <si>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</si>
  <si>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</si>
  <si>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</si>
  <si>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</si>
  <si>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</si>
  <si>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</si>
  <si>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</si>
  <si>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</si>
  <si>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</si>
  <si>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</si>
  <si>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</si>
  <si>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</si>
  <si>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</si>
  <si>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</si>
  <si>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</si>
  <si>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</si>
  <si>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</si>
  <si>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</si>
  <si>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</si>
  <si>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</si>
  <si>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</si>
  <si>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</si>
  <si>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</si>
  <si>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</si>
  <si>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</si>
  <si>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</si>
  <si>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</si>
  <si>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</si>
  <si>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</si>
  <si>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</si>
  <si>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</si>
  <si>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</si>
  <si>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</si>
  <si>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</si>
  <si>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</si>
  <si>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</si>
  <si>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</si>
  <si>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</si>
  <si>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</si>
  <si>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</si>
  <si>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</si>
  <si>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</si>
  <si>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</si>
  <si>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</si>
  <si>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</si>
  <si>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</si>
  <si>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</si>
  <si>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</si>
  <si>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</si>
  <si>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</si>
  <si>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</si>
  <si>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</si>
  <si>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</si>
  <si>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</si>
  <si>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</si>
  <si>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</si>
  <si>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</si>
  <si>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</si>
  <si>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</si>
  <si>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</si>
  <si>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</si>
  <si>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</si>
  <si>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</si>
  <si>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</si>
  <si>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</si>
  <si>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</si>
  <si>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</si>
  <si>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</si>
  <si>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</si>
  <si>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</si>
  <si>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</si>
  <si>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</si>
  <si>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</si>
  <si>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</si>
  <si>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</si>
  <si>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</si>
  <si>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</si>
  <si>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</si>
  <si>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</si>
  <si>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</si>
  <si>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</si>
  <si>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</si>
  <si>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</si>
  <si>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</si>
  <si>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</si>
  <si>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</si>
  <si>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</si>
  <si>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</si>
  <si>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</si>
  <si>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</si>
  <si>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</si>
  <si>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</si>
  <si>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</si>
  <si>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</si>
  <si>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</si>
  <si>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</si>
  <si>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</si>
  <si>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</si>
  <si>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</si>
  <si>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</si>
  <si>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</si>
  <si>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</si>
  <si>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</si>
  <si>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</si>
  <si>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</si>
  <si>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</si>
  <si>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</si>
  <si>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</si>
  <si>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</si>
  <si>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</si>
  <si>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</si>
  <si>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</si>
  <si>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</si>
  <si>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</si>
  <si>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</si>
  <si>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</si>
  <si>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</si>
  <si>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</si>
  <si>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</si>
  <si>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</si>
  <si>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</si>
  <si>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</si>
  <si>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</si>
  <si>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</si>
  <si>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</si>
  <si>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</si>
  <si>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</si>
  <si>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</si>
  <si>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</si>
  <si>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</si>
  <si>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</si>
  <si>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</si>
  <si>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</si>
  <si>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</si>
  <si>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</si>
  <si>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</si>
  <si>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</si>
  <si>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</si>
  <si>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</si>
  <si>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</si>
  <si>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</si>
  <si>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</si>
  <si>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</si>
  <si>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</si>
  <si>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</si>
  <si>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</si>
  <si>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</si>
  <si>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</si>
  <si>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</si>
  <si>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</si>
  <si>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</si>
  <si>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</si>
  <si>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</si>
  <si>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</si>
  <si>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</si>
  <si>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</si>
  <si>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</si>
  <si>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</si>
  <si>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</si>
  <si>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</si>
  <si>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</si>
  <si>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</si>
  <si>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</si>
  <si>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</si>
  <si>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</si>
  <si>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</si>
  <si>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</si>
  <si>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</si>
  <si>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</si>
  <si>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</si>
  <si>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</si>
  <si>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</si>
  <si>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</si>
  <si>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</si>
  <si>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</si>
  <si>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</si>
  <si>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</si>
  <si>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</si>
  <si>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</si>
  <si>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</si>
  <si>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</si>
  <si>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</si>
  <si>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</si>
  <si>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</si>
  <si>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</si>
  <si>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</si>
  <si>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</si>
  <si>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</si>
  <si>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</si>
  <si>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</si>
  <si>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</si>
  <si>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</si>
  <si>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</si>
  <si>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</si>
  <si>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</si>
  <si>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</si>
  <si>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</si>
  <si>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</si>
  <si>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</si>
  <si>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</si>
  <si>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</si>
  <si>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</si>
  <si>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</si>
  <si>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</si>
  <si>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</si>
  <si>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</si>
  <si>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</si>
  <si>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</si>
  <si>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</si>
  <si>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</si>
  <si>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</si>
  <si>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</si>
  <si>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</si>
  <si>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</si>
  <si>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</si>
  <si>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</si>
  <si>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</si>
  <si>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</si>
  <si>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</si>
  <si>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</si>
  <si>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</si>
  <si>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</si>
  <si>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</si>
  <si>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</si>
  <si>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</si>
  <si>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</si>
  <si>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</si>
  <si>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</si>
  <si>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</si>
  <si>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</si>
  <si>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</si>
  <si>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</si>
  <si>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</si>
  <si>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</si>
  <si>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</si>
  <si>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</si>
  <si>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</si>
  <si>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</si>
  <si>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</si>
  <si>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</si>
  <si>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</si>
  <si>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</si>
  <si>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</si>
  <si>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</si>
  <si>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</si>
  <si>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</si>
  <si>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</si>
  <si>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</si>
  <si>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</si>
  <si>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</si>
  <si>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</si>
  <si>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</si>
  <si>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</si>
  <si>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</si>
  <si>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</si>
  <si>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</si>
  <si>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</si>
  <si>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</si>
  <si>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</si>
  <si>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</si>
  <si>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</si>
  <si>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</si>
  <si>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</si>
  <si>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</si>
  <si>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</si>
  <si>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</si>
  <si>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</si>
  <si>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</si>
  <si>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</si>
  <si>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</si>
  <si>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</si>
  <si>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</si>
  <si>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</si>
  <si>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</si>
  <si>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</si>
  <si>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</si>
  <si>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</si>
  <si>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</si>
  <si>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</si>
  <si>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</si>
  <si>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</si>
  <si>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</si>
  <si>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</si>
  <si>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</si>
  <si>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</si>
  <si>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</si>
  <si>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</si>
  <si>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</si>
  <si>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</si>
  <si>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</si>
  <si>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</si>
  <si>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</si>
  <si>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</si>
  <si>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</si>
  <si>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</si>
  <si>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</si>
  <si>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</si>
  <si>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</si>
  <si>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</si>
  <si>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</si>
  <si>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</si>
  <si>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</si>
  <si>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</si>
  <si>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</si>
  <si>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</si>
  <si>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</si>
  <si>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</si>
  <si>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</si>
  <si>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</si>
  <si>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</si>
  <si>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</si>
  <si>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</si>
  <si>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</si>
  <si>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</si>
  <si>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</si>
  <si>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</si>
  <si>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</si>
  <si>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</si>
  <si>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</si>
  <si>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</si>
  <si>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</si>
  <si>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</si>
  <si>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</si>
  <si>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</si>
  <si>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</si>
  <si>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</si>
  <si>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</si>
  <si>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</si>
  <si>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</si>
  <si>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</si>
  <si>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</si>
  <si>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</si>
  <si>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</si>
  <si>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</si>
  <si>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</si>
  <si>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</si>
  <si>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</si>
  <si>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</si>
  <si>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</si>
  <si>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</si>
  <si>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</si>
  <si>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</si>
  <si>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</si>
  <si>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</si>
  <si>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</si>
  <si>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</si>
  <si>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</si>
  <si>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</si>
  <si>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</si>
  <si>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</si>
  <si>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</si>
  <si>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</si>
  <si>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</si>
  <si>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</si>
  <si>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</si>
  <si>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</si>
  <si>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</si>
  <si>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</si>
  <si>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</si>
  <si>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</si>
  <si>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</si>
  <si>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</si>
  <si>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</si>
  <si>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</si>
  <si>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</si>
  <si>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</si>
  <si>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</si>
  <si>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</si>
  <si>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</si>
  <si>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</si>
  <si>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</si>
  <si>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</si>
  <si>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</si>
  <si>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</si>
  <si>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</si>
  <si>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</si>
  <si>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</si>
  <si>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</si>
  <si>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</si>
  <si>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</si>
  <si>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</si>
  <si>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</si>
  <si>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</si>
  <si>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</si>
  <si>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</si>
  <si>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</si>
  <si>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</si>
  <si>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</si>
  <si>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</si>
  <si>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</si>
  <si>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</si>
  <si>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</si>
  <si>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</si>
  <si>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</si>
  <si>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</si>
  <si>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</si>
  <si>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</si>
  <si>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</si>
  <si>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</si>
  <si>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</si>
  <si>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</si>
  <si>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</si>
  <si>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</si>
  <si>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</si>
  <si>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</si>
  <si>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</si>
  <si>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</si>
  <si>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</si>
  <si>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</si>
  <si>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</si>
  <si>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</si>
  <si>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</si>
  <si>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</si>
  <si>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</si>
  <si>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</si>
  <si>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</si>
  <si>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</si>
  <si>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</si>
  <si>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</si>
  <si>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</si>
  <si>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</si>
  <si>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</si>
  <si>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</si>
  <si>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</si>
  <si>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</si>
  <si>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</si>
  <si>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</si>
  <si>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</si>
  <si>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</si>
  <si>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</si>
  <si>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</si>
  <si>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</si>
  <si>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</si>
  <si>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</si>
  <si>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</si>
  <si>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</si>
  <si>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</si>
  <si>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</si>
  <si>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</si>
  <si>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</si>
  <si>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</si>
  <si>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</si>
  <si>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</si>
  <si>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</si>
  <si>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</si>
  <si>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</si>
  <si>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</si>
  <si>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</si>
  <si>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</si>
  <si>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</si>
  <si>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</si>
  <si>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</si>
  <si>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</si>
  <si>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</si>
  <si>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</si>
  <si>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</si>
  <si>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</si>
  <si>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</si>
  <si>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</si>
  <si>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</si>
  <si>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</si>
  <si>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</si>
  <si>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</si>
  <si>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</si>
  <si>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</si>
  <si>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</si>
  <si>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</si>
  <si>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</si>
  <si>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</si>
  <si>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</si>
  <si>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</si>
  <si>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</si>
  <si>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</si>
  <si>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</si>
  <si>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</si>
  <si>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</si>
  <si>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</si>
  <si>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</si>
  <si>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</si>
  <si>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</si>
  <si>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</si>
  <si>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</si>
  <si>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</si>
  <si>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</si>
  <si>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</si>
  <si>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</si>
  <si>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</si>
  <si>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</si>
  <si>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</si>
  <si>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</si>
  <si>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</si>
  <si>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</si>
  <si>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</si>
  <si>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</si>
  <si>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</si>
  <si>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</si>
  <si>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</si>
  <si>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</si>
  <si>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</si>
  <si>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</si>
  <si>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</si>
  <si>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</si>
  <si>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</si>
  <si>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</si>
  <si>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</si>
  <si>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</si>
  <si>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</si>
  <si>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</si>
  <si>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</si>
  <si>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</si>
  <si>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</si>
  <si>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</si>
  <si>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</si>
  <si>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</si>
  <si>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</si>
  <si>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</si>
  <si>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</si>
  <si>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</si>
  <si>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</si>
  <si>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</si>
  <si>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</si>
  <si>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</si>
  <si>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</si>
  <si>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</si>
  <si>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</si>
  <si>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</si>
  <si>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</si>
  <si>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</si>
  <si>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</si>
  <si>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</si>
  <si>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</si>
  <si>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</si>
  <si>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</si>
  <si>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</si>
  <si>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</si>
  <si>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</si>
  <si>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</si>
  <si>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</si>
  <si>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</si>
  <si>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</si>
  <si>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</si>
  <si>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</si>
  <si>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</si>
  <si>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</si>
  <si>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</si>
  <si>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</si>
  <si>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</si>
  <si>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</si>
  <si>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</si>
  <si>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</si>
  <si>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</si>
  <si>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</si>
  <si>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</si>
  <si>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</si>
  <si>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</si>
  <si>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</si>
  <si>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</si>
  <si>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</si>
  <si>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</si>
  <si>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</si>
  <si>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</si>
  <si>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</si>
  <si>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</si>
  <si>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</si>
  <si>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</si>
  <si>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</si>
  <si>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PVN-003987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</si>
  <si>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</si>
  <si>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</si>
  <si>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</si>
  <si>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</si>
  <si>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</si>
  <si>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</si>
  <si>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</si>
  <si>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</si>
  <si>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</si>
  <si>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</si>
  <si>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</si>
  <si>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</si>
  <si>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</si>
  <si>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</si>
  <si>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</si>
  <si>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</si>
  <si>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</si>
  <si>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</si>
  <si>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</si>
  <si>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</si>
  <si>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</si>
  <si>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</si>
  <si>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</si>
  <si>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</si>
  <si>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</si>
  <si>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</si>
  <si>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</si>
  <si>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</si>
  <si>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</si>
  <si>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</si>
  <si>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</si>
  <si>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</si>
  <si>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</si>
  <si>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</si>
  <si>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</si>
  <si>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</si>
  <si>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</si>
  <si>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</si>
  <si>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</si>
  <si>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</si>
  <si>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</si>
  <si>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</si>
  <si>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</si>
  <si>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</si>
  <si>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</si>
  <si>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</si>
  <si>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</si>
  <si>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</si>
  <si>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</si>
  <si>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</si>
  <si>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</si>
  <si>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</si>
  <si>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</si>
  <si>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</si>
  <si>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</si>
  <si>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</si>
  <si>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</si>
  <si>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</si>
  <si>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</si>
  <si>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</si>
  <si>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</si>
  <si>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</si>
  <si>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</si>
  <si>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</si>
  <si>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</si>
  <si>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</si>
  <si>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</si>
  <si>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</si>
  <si>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</si>
  <si>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</si>
  <si>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</si>
  <si>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</si>
  <si>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</si>
  <si>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</si>
  <si>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</si>
  <si>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</si>
  <si>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</si>
  <si>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</si>
  <si>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</si>
  <si>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</si>
  <si>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</si>
  <si>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</si>
  <si>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</si>
  <si>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</si>
  <si>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</si>
  <si>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</si>
  <si>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</si>
  <si>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</si>
  <si>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</si>
  <si>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</si>
  <si>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</si>
  <si>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</si>
  <si>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</si>
  <si>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</si>
  <si>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</si>
  <si>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</si>
  <si>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</si>
  <si>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</si>
  <si>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</si>
  <si>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</si>
  <si>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</si>
  <si>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</si>
  <si>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</si>
  <si>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</si>
  <si>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</si>
  <si>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</si>
  <si>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</si>
  <si>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</si>
  <si>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</si>
  <si>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</si>
  <si>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</si>
  <si>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</si>
  <si>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</si>
  <si>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</si>
  <si>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</si>
  <si>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</si>
  <si>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</si>
  <si>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</si>
  <si>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</si>
  <si>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</si>
  <si>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</si>
  <si>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</si>
  <si>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</si>
  <si>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</si>
  <si>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</si>
  <si>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</si>
  <si>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</si>
  <si>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</si>
  <si>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Không Giam Size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</si>
  <si>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</si>
  <si>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</si>
  <si>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</si>
  <si>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</si>
  <si>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</si>
  <si>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</si>
  <si>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</si>
  <si>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</si>
  <si>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</si>
  <si>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</si>
  <si>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</si>
  <si>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</si>
  <si>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</si>
  <si>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</si>
  <si>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</si>
  <si>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</si>
  <si>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</si>
  <si>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</si>
  <si>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</si>
  <si>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</si>
  <si>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</si>
  <si>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</si>
  <si>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</si>
  <si>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</si>
  <si>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</si>
  <si>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</si>
  <si>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</si>
  <si>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</si>
  <si>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</si>
  <si>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</si>
  <si>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</si>
  <si>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</si>
  <si>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</si>
  <si>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</si>
  <si>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</si>
  <si>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</si>
  <si>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</si>
  <si>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</si>
  <si>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</si>
  <si>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</si>
  <si>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</si>
  <si>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</si>
  <si>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</si>
  <si>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</si>
  <si>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</si>
  <si>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</si>
  <si>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</si>
  <si>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</si>
  <si>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</si>
  <si>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</si>
  <si>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</si>
  <si>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</si>
  <si>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</si>
  <si>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</si>
  <si>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</si>
  <si>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</si>
  <si>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</si>
  <si>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</si>
  <si>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</si>
  <si>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</si>
  <si>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</si>
  <si>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</si>
  <si>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</si>
  <si>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</si>
  <si>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</si>
  <si>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</si>
  <si>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</si>
  <si>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</si>
  <si>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</si>
  <si>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</si>
  <si>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</si>
  <si>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</si>
  <si>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</si>
  <si>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</si>
  <si>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</si>
  <si>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</si>
  <si>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</si>
  <si>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</si>
  <si>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</si>
  <si>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</si>
  <si>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</si>
  <si>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</si>
  <si>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</si>
  <si>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</si>
  <si>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</si>
  <si>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</si>
  <si>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</si>
  <si>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</si>
  <si>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</si>
  <si>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</si>
  <si>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</si>
  <si>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</si>
  <si>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</si>
  <si>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</si>
  <si>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</si>
  <si>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</si>
  <si>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</si>
  <si>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</si>
  <si>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</si>
  <si>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</si>
  <si>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</si>
  <si>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</si>
  <si>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</si>
  <si>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</si>
  <si>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</si>
  <si>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</si>
  <si>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</si>
  <si>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</si>
  <si>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</si>
  <si>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</si>
  <si>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</si>
  <si>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</si>
  <si>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</si>
  <si>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</si>
  <si>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</si>
  <si>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</si>
  <si>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</si>
  <si>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</si>
  <si>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</si>
  <si>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</si>
  <si>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250701-0723</t>
  </si>
  <si>
    <t>0702-0465</t>
  </si>
  <si>
    <t>19-3920</t>
  </si>
  <si>
    <t>PHIẾU C+A21:F25HUYỂN GIAO ĐƠN BÙ
(Nomal Supplement Orders- Hàng Bù Sản Xuất)</t>
  </si>
  <si>
    <t>9-3920+A21:F25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</si>
  <si>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</si>
  <si>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</si>
  <si>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</si>
  <si>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</si>
  <si>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</si>
  <si>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</si>
  <si>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</si>
  <si>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</si>
  <si>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</si>
  <si>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</si>
  <si>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</si>
  <si>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</si>
  <si>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</si>
  <si>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</si>
  <si>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</si>
  <si>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</si>
  <si>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</si>
  <si>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</si>
  <si>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</si>
  <si>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</si>
  <si>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</si>
  <si>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</si>
  <si>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</si>
  <si>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</si>
  <si>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</si>
  <si>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</si>
  <si>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</si>
  <si>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</si>
  <si>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</si>
  <si>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</si>
  <si>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</si>
  <si>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</si>
  <si>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</si>
  <si>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</si>
  <si>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</si>
  <si>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</si>
  <si>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</si>
  <si>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</si>
  <si>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</si>
  <si>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</si>
  <si>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</si>
  <si>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</si>
  <si>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</si>
  <si>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</si>
  <si>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</si>
  <si>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</si>
  <si>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</si>
  <si>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</si>
  <si>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</si>
  <si>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</si>
  <si>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</si>
  <si>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</si>
  <si>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</si>
  <si>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</si>
  <si>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</si>
  <si>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</si>
  <si>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</si>
  <si>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</si>
  <si>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</si>
  <si>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</si>
  <si>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</si>
  <si>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</si>
  <si>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</si>
  <si>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</si>
  <si>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</si>
  <si>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</si>
  <si>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</si>
  <si>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</si>
  <si>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</si>
  <si>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</si>
  <si>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</si>
  <si>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</si>
  <si>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</si>
  <si>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</si>
  <si>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</si>
  <si>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</si>
  <si>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</si>
  <si>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</si>
  <si>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</si>
  <si>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</si>
  <si>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</si>
  <si>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</si>
  <si>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</si>
  <si>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</si>
  <si>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</si>
  <si>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</si>
  <si>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</si>
  <si>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</si>
  <si>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</si>
  <si>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</si>
  <si>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</si>
  <si>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</si>
  <si>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</si>
  <si>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</si>
  <si>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</si>
  <si>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</si>
  <si>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</si>
  <si>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</si>
  <si>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</si>
  <si>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</si>
  <si>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</si>
  <si>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</si>
  <si>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</si>
  <si>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</si>
  <si>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</si>
  <si>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</si>
  <si>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</si>
  <si>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</si>
  <si>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</si>
  <si>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</si>
  <si>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</si>
  <si>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</si>
  <si>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</si>
  <si>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</si>
  <si>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</si>
  <si>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</si>
  <si>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</si>
  <si>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</si>
  <si>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</si>
  <si>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</si>
  <si>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</si>
  <si>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</si>
  <si>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</si>
  <si>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</si>
  <si>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</si>
  <si>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</si>
  <si>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</si>
  <si>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</si>
  <si>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</si>
  <si>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</si>
  <si>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</si>
  <si>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</si>
  <si>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</si>
  <si>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</si>
  <si>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</si>
  <si>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</si>
  <si>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</si>
  <si>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</si>
  <si>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</si>
  <si>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</si>
  <si>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</si>
  <si>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</si>
  <si>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</si>
  <si>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</si>
  <si>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</si>
  <si>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</si>
  <si>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</si>
  <si>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</si>
  <si>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</si>
  <si>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</si>
  <si>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</si>
  <si>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</si>
  <si>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</si>
  <si>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</si>
  <si>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</si>
  <si>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</si>
  <si>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</si>
  <si>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</si>
  <si>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</si>
  <si>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</si>
  <si>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</si>
  <si>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</si>
  <si>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</si>
  <si>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</si>
  <si>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</si>
  <si>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</si>
  <si>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</si>
  <si>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</si>
  <si>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</si>
  <si>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</si>
  <si>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</si>
  <si>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</si>
  <si>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</si>
  <si>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</si>
  <si>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</si>
  <si>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</si>
  <si>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</si>
  <si>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</si>
  <si>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</si>
  <si>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</si>
  <si>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</si>
  <si>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</si>
  <si>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</si>
  <si>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</si>
  <si>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</si>
  <si>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</si>
  <si>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</si>
  <si>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</si>
  <si>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</si>
  <si>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</si>
  <si>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</si>
  <si>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</si>
  <si>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</si>
  <si>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</si>
  <si>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</si>
  <si>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</si>
  <si>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</si>
  <si>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</si>
  <si>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</si>
  <si>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</si>
  <si>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</si>
  <si>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</si>
  <si>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</si>
  <si>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</si>
  <si>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</si>
  <si>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</si>
  <si>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</si>
  <si>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</si>
  <si>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</si>
  <si>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</si>
  <si>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</si>
  <si>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</si>
  <si>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</si>
  <si>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</si>
  <si>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</si>
  <si>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</si>
  <si>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</si>
  <si>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</si>
  <si>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</si>
  <si>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</si>
  <si>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</si>
  <si>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</si>
  <si>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</si>
  <si>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</si>
  <si>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</si>
  <si>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</si>
  <si>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</si>
  <si>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</si>
  <si>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</si>
  <si>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</si>
  <si>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</si>
  <si>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</si>
  <si>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#6.5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</si>
  <si>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</si>
  <si>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</si>
  <si>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</si>
  <si>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</si>
  <si>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</si>
  <si>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</si>
  <si>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</si>
  <si>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</si>
  <si>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</si>
  <si>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</si>
  <si>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</si>
  <si>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</si>
  <si>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</si>
  <si>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</si>
  <si>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</si>
  <si>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</si>
  <si>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</si>
  <si>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</si>
  <si>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</si>
  <si>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</si>
  <si>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</si>
  <si>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</si>
  <si>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</si>
  <si>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</si>
  <si>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</si>
  <si>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</si>
  <si>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</si>
  <si>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</si>
  <si>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</si>
  <si>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</si>
  <si>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#3</t>
  </si>
  <si>
    <t>#4</t>
  </si>
  <si>
    <t>3#</t>
  </si>
  <si>
    <t>4#</t>
  </si>
  <si>
    <t>6.5#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</si>
</sst>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48"/>
  <sheetViews>
    <sheetView zoomScale="115" zoomScaleNormal="115" workbookViewId="0">
      <pane xSplit="1" ySplit="1" topLeftCell="B189" activePane="bottomRight" state="frozen"/>
      <selection pane="topRight" activeCell="B1" sqref="B1"/>
      <selection pane="bottomLeft" activeCell="A2" sqref="A2"/>
      <selection pane="bottomRight" activeCell="B188" sqref="B188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661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673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662</v>
      </c>
      <c r="B129" t="s">
        <v>663</v>
      </c>
      <c r="C129" t="s">
        <v>76</v>
      </c>
      <c r="D129" t="s">
        <v>47</v>
      </c>
      <c r="E129" t="s">
        <v>77</v>
      </c>
      <c r="F129" t="s">
        <v>664</v>
      </c>
      <c r="G129" t="s">
        <v>41</v>
      </c>
      <c r="H129" t="s">
        <v>239</v>
      </c>
      <c r="I129">
        <v>17</v>
      </c>
      <c r="J129" t="s">
        <v>665</v>
      </c>
      <c r="L129" t="s">
        <v>666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667</v>
      </c>
      <c r="B130" t="s">
        <v>668</v>
      </c>
      <c r="C130" t="s">
        <v>38</v>
      </c>
      <c r="D130" t="s">
        <v>47</v>
      </c>
      <c r="E130" t="s">
        <v>39</v>
      </c>
      <c r="F130" t="s">
        <v>669</v>
      </c>
      <c r="G130" t="s">
        <v>41</v>
      </c>
      <c r="H130" t="s">
        <v>670</v>
      </c>
      <c r="I130">
        <v>8</v>
      </c>
      <c r="J130" t="s">
        <v>671</v>
      </c>
      <c r="L130" t="s">
        <v>672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674</v>
      </c>
      <c r="B131" t="s">
        <v>675</v>
      </c>
      <c r="C131" t="s">
        <v>14</v>
      </c>
      <c r="D131" t="s">
        <v>47</v>
      </c>
      <c r="E131" t="s">
        <v>293</v>
      </c>
      <c r="F131" t="s">
        <v>676</v>
      </c>
      <c r="G131" t="s">
        <v>305</v>
      </c>
      <c r="H131" t="s">
        <v>677</v>
      </c>
      <c r="I131">
        <v>75</v>
      </c>
      <c r="J131" t="s">
        <v>678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679</v>
      </c>
      <c r="B132" t="s">
        <v>680</v>
      </c>
      <c r="C132" t="s">
        <v>76</v>
      </c>
      <c r="D132" t="s">
        <v>47</v>
      </c>
      <c r="E132" t="s">
        <v>122</v>
      </c>
      <c r="F132" t="s">
        <v>681</v>
      </c>
      <c r="G132" t="s">
        <v>41</v>
      </c>
      <c r="H132" t="s">
        <v>484</v>
      </c>
      <c r="I132">
        <v>31</v>
      </c>
      <c r="J132" t="s">
        <v>682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683</v>
      </c>
      <c r="B133" t="s">
        <v>684</v>
      </c>
      <c r="C133" t="s">
        <v>14</v>
      </c>
      <c r="D133" t="s">
        <v>47</v>
      </c>
      <c r="E133" t="s">
        <v>228</v>
      </c>
      <c r="F133" t="s">
        <v>676</v>
      </c>
      <c r="G133" t="s">
        <v>230</v>
      </c>
      <c r="H133" t="s">
        <v>231</v>
      </c>
      <c r="I133">
        <v>45</v>
      </c>
      <c r="J133" t="s">
        <v>685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686</v>
      </c>
      <c r="B134" t="s">
        <v>687</v>
      </c>
      <c r="C134" t="s">
        <v>179</v>
      </c>
      <c r="D134" t="s">
        <v>15</v>
      </c>
      <c r="E134" t="s">
        <v>23</v>
      </c>
      <c r="F134" t="s">
        <v>688</v>
      </c>
      <c r="G134" t="s">
        <v>49</v>
      </c>
      <c r="H134" t="s">
        <v>186</v>
      </c>
      <c r="I134">
        <v>35</v>
      </c>
      <c r="J134" t="s">
        <v>689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690</v>
      </c>
      <c r="B135" t="s">
        <v>691</v>
      </c>
      <c r="C135" t="s">
        <v>22</v>
      </c>
      <c r="D135" t="s">
        <v>15</v>
      </c>
      <c r="E135" t="s">
        <v>23</v>
      </c>
      <c r="F135" t="s">
        <v>692</v>
      </c>
      <c r="G135" t="s">
        <v>180</v>
      </c>
      <c r="H135" t="s">
        <v>525</v>
      </c>
      <c r="I135">
        <v>3</v>
      </c>
      <c r="J135" t="s">
        <v>693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694</v>
      </c>
      <c r="B136" t="s">
        <v>695</v>
      </c>
      <c r="C136" t="s">
        <v>191</v>
      </c>
      <c r="D136" t="s">
        <v>15</v>
      </c>
      <c r="E136" t="s">
        <v>23</v>
      </c>
      <c r="F136" t="s">
        <v>692</v>
      </c>
      <c r="G136" t="s">
        <v>25</v>
      </c>
      <c r="H136" t="s">
        <v>696</v>
      </c>
      <c r="I136">
        <v>10</v>
      </c>
      <c r="J136" t="s">
        <v>697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698</v>
      </c>
      <c r="B137" t="s">
        <v>699</v>
      </c>
      <c r="C137" t="s">
        <v>201</v>
      </c>
      <c r="D137" t="s">
        <v>171</v>
      </c>
      <c r="E137" t="s">
        <v>276</v>
      </c>
      <c r="F137" t="s">
        <v>700</v>
      </c>
      <c r="G137" t="s">
        <v>701</v>
      </c>
      <c r="H137" t="s">
        <v>702</v>
      </c>
      <c r="I137">
        <v>24</v>
      </c>
      <c r="J137" t="s">
        <v>703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704</v>
      </c>
      <c r="B138" t="s">
        <v>705</v>
      </c>
      <c r="C138" t="s">
        <v>90</v>
      </c>
      <c r="D138" t="s">
        <v>15</v>
      </c>
      <c r="E138" t="s">
        <v>706</v>
      </c>
      <c r="F138" t="s">
        <v>707</v>
      </c>
      <c r="G138" t="s">
        <v>708</v>
      </c>
      <c r="H138" t="s">
        <v>709</v>
      </c>
      <c r="I138">
        <v>19</v>
      </c>
      <c r="J138" t="s">
        <v>710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711</v>
      </c>
      <c r="B139" t="s">
        <v>712</v>
      </c>
      <c r="C139" t="s">
        <v>98</v>
      </c>
      <c r="D139" t="s">
        <v>47</v>
      </c>
      <c r="E139" t="s">
        <v>276</v>
      </c>
      <c r="F139" t="s">
        <v>713</v>
      </c>
      <c r="G139" t="s">
        <v>714</v>
      </c>
      <c r="H139" t="s">
        <v>715</v>
      </c>
      <c r="I139">
        <v>3</v>
      </c>
      <c r="J139" t="s">
        <v>716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717</v>
      </c>
      <c r="B140" t="s">
        <v>718</v>
      </c>
      <c r="C140" t="s">
        <v>98</v>
      </c>
      <c r="D140" t="s">
        <v>47</v>
      </c>
      <c r="E140" t="s">
        <v>99</v>
      </c>
      <c r="F140" t="s">
        <v>700</v>
      </c>
      <c r="G140" t="s">
        <v>719</v>
      </c>
      <c r="H140" t="s">
        <v>720</v>
      </c>
      <c r="I140">
        <v>9</v>
      </c>
      <c r="J140" t="s">
        <v>721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722</v>
      </c>
      <c r="B141" t="s">
        <v>723</v>
      </c>
      <c r="C141" t="s">
        <v>179</v>
      </c>
      <c r="D141" t="s">
        <v>47</v>
      </c>
      <c r="E141" t="s">
        <v>23</v>
      </c>
      <c r="F141" t="s">
        <v>724</v>
      </c>
      <c r="G141" t="s">
        <v>49</v>
      </c>
      <c r="H141" t="s">
        <v>725</v>
      </c>
      <c r="I141">
        <v>3</v>
      </c>
      <c r="J141" t="s">
        <v>726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727</v>
      </c>
      <c r="B142" t="s">
        <v>728</v>
      </c>
      <c r="C142" t="s">
        <v>76</v>
      </c>
      <c r="D142" t="s">
        <v>47</v>
      </c>
      <c r="E142" t="s">
        <v>77</v>
      </c>
      <c r="F142" t="s">
        <v>664</v>
      </c>
      <c r="G142" t="s">
        <v>41</v>
      </c>
      <c r="H142" t="s">
        <v>79</v>
      </c>
      <c r="I142">
        <v>5</v>
      </c>
      <c r="J142" t="s">
        <v>729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730</v>
      </c>
      <c r="B143" t="s">
        <v>731</v>
      </c>
      <c r="C143" t="s">
        <v>22</v>
      </c>
      <c r="D143" t="s">
        <v>47</v>
      </c>
      <c r="E143" t="s">
        <v>23</v>
      </c>
      <c r="F143" t="s">
        <v>692</v>
      </c>
      <c r="G143" t="s">
        <v>25</v>
      </c>
      <c r="H143" t="s">
        <v>732</v>
      </c>
      <c r="I143">
        <v>6</v>
      </c>
      <c r="J143" t="s">
        <v>733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734</v>
      </c>
      <c r="B144" t="s">
        <v>735</v>
      </c>
      <c r="C144" t="s">
        <v>60</v>
      </c>
      <c r="D144" t="s">
        <v>47</v>
      </c>
      <c r="E144" t="s">
        <v>23</v>
      </c>
      <c r="F144" t="s">
        <v>692</v>
      </c>
      <c r="G144" t="s">
        <v>25</v>
      </c>
      <c r="H144" t="s">
        <v>543</v>
      </c>
      <c r="I144">
        <v>23</v>
      </c>
      <c r="J144" t="s">
        <v>736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 x14ac:dyDescent="0.25">
      <c r="A145" t="s">
        <v>737</v>
      </c>
      <c r="B145" t="s">
        <v>738</v>
      </c>
      <c r="C145" t="s">
        <v>268</v>
      </c>
      <c r="D145" t="s">
        <v>47</v>
      </c>
      <c r="E145" t="s">
        <v>269</v>
      </c>
      <c r="F145" t="s">
        <v>739</v>
      </c>
      <c r="G145" t="s">
        <v>740</v>
      </c>
      <c r="H145" t="s">
        <v>741</v>
      </c>
      <c r="I145">
        <v>20</v>
      </c>
      <c r="J145" t="s">
        <v>742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 x14ac:dyDescent="0.25">
      <c r="A146" t="s">
        <v>743</v>
      </c>
      <c r="B146" t="s">
        <v>744</v>
      </c>
      <c r="C146" t="s">
        <v>191</v>
      </c>
      <c r="D146" t="s">
        <v>47</v>
      </c>
      <c r="E146" t="s">
        <v>23</v>
      </c>
      <c r="F146" t="s">
        <v>692</v>
      </c>
      <c r="G146" t="s">
        <v>25</v>
      </c>
      <c r="H146" t="s">
        <v>745</v>
      </c>
      <c r="I146">
        <v>16</v>
      </c>
      <c r="J146" t="s">
        <v>746</v>
      </c>
      <c r="L146" t="s">
        <v>647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 x14ac:dyDescent="0.25">
      <c r="A147" t="s">
        <v>747</v>
      </c>
      <c r="B147" t="s">
        <v>748</v>
      </c>
      <c r="C147" t="s">
        <v>191</v>
      </c>
      <c r="D147" t="s">
        <v>47</v>
      </c>
      <c r="E147" t="s">
        <v>23</v>
      </c>
      <c r="F147" t="s">
        <v>692</v>
      </c>
      <c r="G147" t="s">
        <v>25</v>
      </c>
      <c r="H147" t="s">
        <v>745</v>
      </c>
      <c r="I147">
        <v>77</v>
      </c>
      <c r="J147" t="s">
        <v>749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 x14ac:dyDescent="0.25">
      <c r="A148" t="s">
        <v>750</v>
      </c>
      <c r="B148" t="s">
        <v>751</v>
      </c>
      <c r="C148" t="s">
        <v>201</v>
      </c>
      <c r="D148" t="s">
        <v>15</v>
      </c>
      <c r="E148" t="s">
        <v>276</v>
      </c>
      <c r="F148" t="s">
        <v>700</v>
      </c>
      <c r="G148" t="s">
        <v>474</v>
      </c>
      <c r="H148" t="s">
        <v>752</v>
      </c>
      <c r="I148">
        <v>63</v>
      </c>
      <c r="J148" t="s">
        <v>753</v>
      </c>
      <c r="L148" t="s">
        <v>754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 x14ac:dyDescent="0.25">
      <c r="A149" t="s">
        <v>755</v>
      </c>
      <c r="B149" t="s">
        <v>756</v>
      </c>
      <c r="C149" t="s">
        <v>54</v>
      </c>
      <c r="D149" t="s">
        <v>15</v>
      </c>
      <c r="E149" t="s">
        <v>39</v>
      </c>
      <c r="F149" t="s">
        <v>669</v>
      </c>
      <c r="G149" t="s">
        <v>411</v>
      </c>
      <c r="H149" t="s">
        <v>452</v>
      </c>
      <c r="I149">
        <v>46</v>
      </c>
      <c r="J149" t="s">
        <v>757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 x14ac:dyDescent="0.25">
      <c r="A150" t="s">
        <v>758</v>
      </c>
      <c r="B150" t="s">
        <v>759</v>
      </c>
      <c r="C150" t="s">
        <v>90</v>
      </c>
      <c r="D150" t="s">
        <v>47</v>
      </c>
      <c r="E150" t="s">
        <v>760</v>
      </c>
      <c r="F150" t="s">
        <v>676</v>
      </c>
      <c r="G150" t="s">
        <v>761</v>
      </c>
      <c r="H150" t="s">
        <v>762</v>
      </c>
      <c r="I150">
        <v>132</v>
      </c>
      <c r="J150" t="s">
        <v>763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 x14ac:dyDescent="0.25">
      <c r="A151" t="s">
        <v>764</v>
      </c>
      <c r="B151" t="s">
        <v>765</v>
      </c>
      <c r="C151" t="s">
        <v>38</v>
      </c>
      <c r="D151" t="s">
        <v>15</v>
      </c>
      <c r="E151" t="s">
        <v>77</v>
      </c>
      <c r="F151" t="s">
        <v>664</v>
      </c>
      <c r="G151" t="s">
        <v>411</v>
      </c>
      <c r="H151" t="s">
        <v>766</v>
      </c>
      <c r="I151">
        <v>28</v>
      </c>
      <c r="J151" t="s">
        <v>767</v>
      </c>
      <c r="L151" t="s">
        <v>768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 x14ac:dyDescent="0.25">
      <c r="A152" t="s">
        <v>769</v>
      </c>
      <c r="B152" t="s">
        <v>770</v>
      </c>
      <c r="C152" t="s">
        <v>38</v>
      </c>
      <c r="D152" t="s">
        <v>47</v>
      </c>
      <c r="E152" t="s">
        <v>77</v>
      </c>
      <c r="F152" t="s">
        <v>664</v>
      </c>
      <c r="G152" t="s">
        <v>41</v>
      </c>
      <c r="H152" t="s">
        <v>140</v>
      </c>
      <c r="I152">
        <v>38</v>
      </c>
      <c r="J152" t="s">
        <v>771</v>
      </c>
      <c r="L152" t="s">
        <v>647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 x14ac:dyDescent="0.25">
      <c r="A153" t="s">
        <v>772</v>
      </c>
      <c r="B153" t="s">
        <v>773</v>
      </c>
      <c r="C153" t="s">
        <v>90</v>
      </c>
      <c r="D153" t="s">
        <v>15</v>
      </c>
      <c r="E153" t="s">
        <v>774</v>
      </c>
      <c r="F153" t="s">
        <v>775</v>
      </c>
      <c r="G153" t="s">
        <v>776</v>
      </c>
      <c r="H153" t="s">
        <v>777</v>
      </c>
      <c r="I153">
        <v>70</v>
      </c>
      <c r="J153" t="s">
        <v>778</v>
      </c>
      <c r="K153" t="s">
        <v>19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 x14ac:dyDescent="0.25">
      <c r="A154" t="s">
        <v>779</v>
      </c>
      <c r="B154" t="s">
        <v>780</v>
      </c>
      <c r="C154" t="s">
        <v>76</v>
      </c>
      <c r="D154" t="s">
        <v>47</v>
      </c>
      <c r="E154" t="s">
        <v>781</v>
      </c>
      <c r="F154" t="s">
        <v>681</v>
      </c>
      <c r="G154" t="s">
        <v>41</v>
      </c>
      <c r="H154" t="s">
        <v>782</v>
      </c>
      <c r="I154">
        <v>9</v>
      </c>
      <c r="J154" t="s">
        <v>783</v>
      </c>
      <c r="L154" t="s">
        <v>567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 x14ac:dyDescent="0.25">
      <c r="A155" t="s">
        <v>784</v>
      </c>
      <c r="B155" t="s">
        <v>785</v>
      </c>
      <c r="C155" t="s">
        <v>191</v>
      </c>
      <c r="D155" t="s">
        <v>47</v>
      </c>
      <c r="E155" t="s">
        <v>23</v>
      </c>
      <c r="F155" t="s">
        <v>692</v>
      </c>
      <c r="G155" t="s">
        <v>347</v>
      </c>
      <c r="H155" t="s">
        <v>786</v>
      </c>
      <c r="I155">
        <v>63</v>
      </c>
      <c r="J155" t="s">
        <v>787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 x14ac:dyDescent="0.25">
      <c r="A156" t="s">
        <v>788</v>
      </c>
      <c r="B156" t="s">
        <v>789</v>
      </c>
      <c r="C156" t="s">
        <v>22</v>
      </c>
      <c r="D156" t="s">
        <v>15</v>
      </c>
      <c r="E156" t="s">
        <v>23</v>
      </c>
      <c r="F156" t="s">
        <v>692</v>
      </c>
      <c r="G156" t="s">
        <v>180</v>
      </c>
      <c r="H156" t="s">
        <v>525</v>
      </c>
      <c r="I156">
        <v>35</v>
      </c>
      <c r="J156" t="s">
        <v>790</v>
      </c>
      <c r="K156" t="s">
        <v>19</v>
      </c>
      <c r="L156" t="s">
        <v>567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 x14ac:dyDescent="0.25">
      <c r="A157" t="s">
        <v>791</v>
      </c>
      <c r="B157" t="s">
        <v>792</v>
      </c>
      <c r="C157" t="s">
        <v>22</v>
      </c>
      <c r="D157" t="s">
        <v>15</v>
      </c>
      <c r="E157" t="s">
        <v>23</v>
      </c>
      <c r="F157" t="s">
        <v>692</v>
      </c>
      <c r="G157" t="s">
        <v>347</v>
      </c>
      <c r="H157" t="s">
        <v>495</v>
      </c>
      <c r="I157">
        <v>29</v>
      </c>
      <c r="J157" t="s">
        <v>793</v>
      </c>
      <c r="K157" t="s">
        <v>19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 x14ac:dyDescent="0.25">
      <c r="A158" t="s">
        <v>794</v>
      </c>
      <c r="B158" t="s">
        <v>795</v>
      </c>
      <c r="C158" t="s">
        <v>268</v>
      </c>
      <c r="D158" t="s">
        <v>15</v>
      </c>
      <c r="E158" t="s">
        <v>269</v>
      </c>
      <c r="F158" t="s">
        <v>739</v>
      </c>
      <c r="G158" t="s">
        <v>796</v>
      </c>
      <c r="H158" t="s">
        <v>797</v>
      </c>
      <c r="I158">
        <v>26</v>
      </c>
      <c r="J158" t="s">
        <v>798</v>
      </c>
      <c r="K158" t="s">
        <v>19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 x14ac:dyDescent="0.25">
      <c r="A159" t="s">
        <v>799</v>
      </c>
      <c r="B159" t="s">
        <v>800</v>
      </c>
      <c r="C159" t="s">
        <v>22</v>
      </c>
      <c r="D159" t="s">
        <v>47</v>
      </c>
      <c r="E159" t="s">
        <v>23</v>
      </c>
      <c r="F159" t="s">
        <v>692</v>
      </c>
      <c r="G159" t="s">
        <v>25</v>
      </c>
      <c r="H159" t="s">
        <v>159</v>
      </c>
      <c r="I159">
        <v>57</v>
      </c>
      <c r="J159" t="s">
        <v>801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 x14ac:dyDescent="0.25">
      <c r="A160" t="s">
        <v>803</v>
      </c>
      <c r="B160" t="s">
        <v>804</v>
      </c>
      <c r="C160" t="s">
        <v>76</v>
      </c>
      <c r="D160" t="s">
        <v>47</v>
      </c>
      <c r="E160" t="s">
        <v>77</v>
      </c>
      <c r="F160" t="s">
        <v>805</v>
      </c>
      <c r="G160" t="s">
        <v>41</v>
      </c>
      <c r="H160" t="s">
        <v>806</v>
      </c>
      <c r="I160">
        <v>11</v>
      </c>
      <c r="J160" t="s">
        <v>807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 x14ac:dyDescent="0.25">
      <c r="A161" t="s">
        <v>808</v>
      </c>
      <c r="B161" t="s">
        <v>809</v>
      </c>
      <c r="C161" t="s">
        <v>38</v>
      </c>
      <c r="D161" t="s">
        <v>47</v>
      </c>
      <c r="E161" t="s">
        <v>39</v>
      </c>
      <c r="F161" t="s">
        <v>669</v>
      </c>
      <c r="G161" t="s">
        <v>41</v>
      </c>
      <c r="H161" t="s">
        <v>670</v>
      </c>
      <c r="I161">
        <v>33</v>
      </c>
      <c r="J161" t="s">
        <v>810</v>
      </c>
      <c r="L161" t="s">
        <v>811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 x14ac:dyDescent="0.25">
      <c r="A162" t="s">
        <v>812</v>
      </c>
      <c r="B162" t="s">
        <v>813</v>
      </c>
      <c r="C162" t="s">
        <v>38</v>
      </c>
      <c r="D162" t="s">
        <v>47</v>
      </c>
      <c r="E162" t="s">
        <v>39</v>
      </c>
      <c r="F162" t="s">
        <v>669</v>
      </c>
      <c r="G162" t="s">
        <v>41</v>
      </c>
      <c r="H162" t="s">
        <v>436</v>
      </c>
      <c r="I162">
        <v>17</v>
      </c>
      <c r="J162" t="s">
        <v>814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 x14ac:dyDescent="0.25">
      <c r="A163" t="s">
        <v>815</v>
      </c>
      <c r="B163" t="s">
        <v>816</v>
      </c>
      <c r="C163" t="s">
        <v>38</v>
      </c>
      <c r="D163" t="s">
        <v>15</v>
      </c>
      <c r="E163" t="s">
        <v>39</v>
      </c>
      <c r="F163" t="s">
        <v>669</v>
      </c>
      <c r="G163" t="s">
        <v>55</v>
      </c>
      <c r="H163" t="s">
        <v>440</v>
      </c>
      <c r="I163">
        <v>3</v>
      </c>
      <c r="J163" t="s">
        <v>817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 x14ac:dyDescent="0.25">
      <c r="A164" t="s">
        <v>818</v>
      </c>
      <c r="B164" t="s">
        <v>819</v>
      </c>
      <c r="C164" t="s">
        <v>76</v>
      </c>
      <c r="D164" t="s">
        <v>47</v>
      </c>
      <c r="E164" t="s">
        <v>781</v>
      </c>
      <c r="F164" t="s">
        <v>681</v>
      </c>
      <c r="G164" t="s">
        <v>411</v>
      </c>
      <c r="H164" t="s">
        <v>820</v>
      </c>
      <c r="I164">
        <v>19</v>
      </c>
      <c r="J164" t="s">
        <v>821</v>
      </c>
      <c r="L164" t="s">
        <v>822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 x14ac:dyDescent="0.25">
      <c r="A165" t="s">
        <v>823</v>
      </c>
      <c r="B165" t="s">
        <v>824</v>
      </c>
      <c r="C165" t="s">
        <v>38</v>
      </c>
      <c r="D165" t="s">
        <v>15</v>
      </c>
      <c r="E165" t="s">
        <v>39</v>
      </c>
      <c r="F165" t="s">
        <v>669</v>
      </c>
      <c r="G165" t="s">
        <v>41</v>
      </c>
      <c r="H165" t="s">
        <v>825</v>
      </c>
      <c r="I165">
        <v>17</v>
      </c>
      <c r="J165" t="s">
        <v>826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 x14ac:dyDescent="0.25">
      <c r="A166" t="s">
        <v>827</v>
      </c>
      <c r="B166" t="s">
        <v>828</v>
      </c>
      <c r="C166" t="s">
        <v>179</v>
      </c>
      <c r="D166" t="s">
        <v>15</v>
      </c>
      <c r="E166" t="s">
        <v>23</v>
      </c>
      <c r="F166" t="s">
        <v>724</v>
      </c>
      <c r="G166" t="s">
        <v>829</v>
      </c>
      <c r="H166" t="s">
        <v>830</v>
      </c>
      <c r="I166">
        <v>14</v>
      </c>
      <c r="J166" t="s">
        <v>831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 x14ac:dyDescent="0.25">
      <c r="A167" t="s">
        <v>832</v>
      </c>
      <c r="B167" t="s">
        <v>833</v>
      </c>
      <c r="C167" t="s">
        <v>179</v>
      </c>
      <c r="D167" t="s">
        <v>47</v>
      </c>
      <c r="E167" t="s">
        <v>23</v>
      </c>
      <c r="F167" t="s">
        <v>724</v>
      </c>
      <c r="G167" t="s">
        <v>180</v>
      </c>
      <c r="H167" t="s">
        <v>247</v>
      </c>
      <c r="I167">
        <v>15</v>
      </c>
      <c r="J167" t="s">
        <v>834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 x14ac:dyDescent="0.25">
      <c r="A168" t="s">
        <v>835</v>
      </c>
      <c r="B168" t="s">
        <v>836</v>
      </c>
      <c r="C168" t="s">
        <v>38</v>
      </c>
      <c r="D168" t="s">
        <v>15</v>
      </c>
      <c r="E168" t="s">
        <v>77</v>
      </c>
      <c r="F168" t="s">
        <v>664</v>
      </c>
      <c r="G168" t="s">
        <v>411</v>
      </c>
      <c r="H168" t="s">
        <v>837</v>
      </c>
      <c r="I168">
        <v>44</v>
      </c>
      <c r="J168" t="s">
        <v>838</v>
      </c>
      <c r="L168" t="s">
        <v>822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 x14ac:dyDescent="0.25">
      <c r="A169" t="s">
        <v>839</v>
      </c>
      <c r="B169" t="s">
        <v>840</v>
      </c>
      <c r="C169" t="s">
        <v>654</v>
      </c>
      <c r="D169" t="s">
        <v>15</v>
      </c>
      <c r="E169" t="s">
        <v>293</v>
      </c>
      <c r="F169" t="s">
        <v>676</v>
      </c>
      <c r="G169" t="s">
        <v>230</v>
      </c>
      <c r="H169" t="s">
        <v>841</v>
      </c>
      <c r="I169">
        <v>18</v>
      </c>
      <c r="J169" t="s">
        <v>842</v>
      </c>
      <c r="K169" t="s">
        <v>19</v>
      </c>
      <c r="L169" t="s">
        <v>632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 x14ac:dyDescent="0.25">
      <c r="A170" t="s">
        <v>843</v>
      </c>
      <c r="B170" t="s">
        <v>844</v>
      </c>
      <c r="C170" t="s">
        <v>38</v>
      </c>
      <c r="D170" t="s">
        <v>15</v>
      </c>
      <c r="E170" t="s">
        <v>77</v>
      </c>
      <c r="F170" t="s">
        <v>664</v>
      </c>
      <c r="G170" t="s">
        <v>411</v>
      </c>
      <c r="H170" t="s">
        <v>845</v>
      </c>
      <c r="I170">
        <v>36</v>
      </c>
      <c r="J170" t="s">
        <v>846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 x14ac:dyDescent="0.25">
      <c r="A171" t="s">
        <v>847</v>
      </c>
      <c r="B171" t="s">
        <v>848</v>
      </c>
      <c r="C171" t="s">
        <v>849</v>
      </c>
      <c r="D171" t="s">
        <v>47</v>
      </c>
      <c r="E171" t="s">
        <v>293</v>
      </c>
      <c r="F171" t="s">
        <v>676</v>
      </c>
      <c r="G171" t="s">
        <v>850</v>
      </c>
      <c r="H171" t="s">
        <v>851</v>
      </c>
      <c r="I171">
        <v>11</v>
      </c>
      <c r="J171" t="s">
        <v>852</v>
      </c>
      <c r="L171" t="s">
        <v>632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 x14ac:dyDescent="0.25">
      <c r="A172" t="s">
        <v>853</v>
      </c>
      <c r="B172" t="s">
        <v>854</v>
      </c>
      <c r="C172" t="s">
        <v>179</v>
      </c>
      <c r="D172" t="s">
        <v>47</v>
      </c>
      <c r="E172" t="s">
        <v>23</v>
      </c>
      <c r="F172" t="s">
        <v>724</v>
      </c>
      <c r="G172" t="s">
        <v>507</v>
      </c>
      <c r="H172" t="s">
        <v>855</v>
      </c>
      <c r="I172">
        <v>13</v>
      </c>
      <c r="J172" t="s">
        <v>856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 x14ac:dyDescent="0.25">
      <c r="A173" t="s">
        <v>857</v>
      </c>
      <c r="B173" t="s">
        <v>858</v>
      </c>
      <c r="C173" t="s">
        <v>38</v>
      </c>
      <c r="D173" t="s">
        <v>47</v>
      </c>
      <c r="E173" t="s">
        <v>77</v>
      </c>
      <c r="F173" t="s">
        <v>664</v>
      </c>
      <c r="G173" t="s">
        <v>71</v>
      </c>
      <c r="H173" t="s">
        <v>859</v>
      </c>
      <c r="I173">
        <v>65</v>
      </c>
      <c r="J173" t="s">
        <v>860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 x14ac:dyDescent="0.25">
      <c r="A174" t="s">
        <v>861</v>
      </c>
      <c r="B174" t="s">
        <v>862</v>
      </c>
      <c r="C174" t="s">
        <v>191</v>
      </c>
      <c r="D174" t="s">
        <v>47</v>
      </c>
      <c r="E174" t="s">
        <v>23</v>
      </c>
      <c r="F174" t="s">
        <v>692</v>
      </c>
      <c r="G174" t="s">
        <v>25</v>
      </c>
      <c r="H174" t="s">
        <v>745</v>
      </c>
      <c r="I174">
        <v>127</v>
      </c>
      <c r="J174" t="s">
        <v>863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 x14ac:dyDescent="0.25">
      <c r="A175" t="s">
        <v>864</v>
      </c>
      <c r="B175" t="s">
        <v>865</v>
      </c>
      <c r="C175" t="s">
        <v>191</v>
      </c>
      <c r="D175" t="s">
        <v>47</v>
      </c>
      <c r="E175" t="s">
        <v>23</v>
      </c>
      <c r="F175" t="s">
        <v>692</v>
      </c>
      <c r="G175" t="s">
        <v>25</v>
      </c>
      <c r="H175" t="s">
        <v>866</v>
      </c>
      <c r="I175">
        <v>18</v>
      </c>
      <c r="J175" t="s">
        <v>867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 x14ac:dyDescent="0.25">
      <c r="A176" t="s">
        <v>868</v>
      </c>
      <c r="B176" t="s">
        <v>869</v>
      </c>
      <c r="C176" t="s">
        <v>90</v>
      </c>
      <c r="D176" t="s">
        <v>47</v>
      </c>
      <c r="E176" t="s">
        <v>774</v>
      </c>
      <c r="F176" t="s">
        <v>775</v>
      </c>
      <c r="G176" t="s">
        <v>870</v>
      </c>
      <c r="H176" t="s">
        <v>871</v>
      </c>
      <c r="I176">
        <v>42</v>
      </c>
      <c r="J176" t="s">
        <v>872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 x14ac:dyDescent="0.25">
      <c r="A177" t="s">
        <v>873</v>
      </c>
      <c r="B177" t="s">
        <v>874</v>
      </c>
      <c r="C177" t="s">
        <v>14</v>
      </c>
      <c r="D177" t="s">
        <v>15</v>
      </c>
      <c r="E177" t="s">
        <v>228</v>
      </c>
      <c r="F177" t="s">
        <v>676</v>
      </c>
      <c r="G177" t="s">
        <v>230</v>
      </c>
      <c r="H177" t="s">
        <v>521</v>
      </c>
      <c r="I177">
        <v>27</v>
      </c>
      <c r="J177" t="s">
        <v>875</v>
      </c>
      <c r="K177" t="s">
        <v>19</v>
      </c>
      <c r="L177" t="s">
        <v>876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 x14ac:dyDescent="0.25">
      <c r="A178" t="s">
        <v>877</v>
      </c>
      <c r="B178" t="s">
        <v>878</v>
      </c>
      <c r="C178" t="s">
        <v>191</v>
      </c>
      <c r="D178" t="s">
        <v>47</v>
      </c>
      <c r="E178" t="s">
        <v>23</v>
      </c>
      <c r="F178" t="s">
        <v>692</v>
      </c>
      <c r="G178" t="s">
        <v>25</v>
      </c>
      <c r="H178" t="s">
        <v>866</v>
      </c>
      <c r="I178">
        <v>29</v>
      </c>
      <c r="J178" t="s">
        <v>879</v>
      </c>
      <c r="L178" s="29" t="s">
        <v>880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 x14ac:dyDescent="0.25">
      <c r="A179" t="s">
        <v>881</v>
      </c>
      <c r="B179" t="s">
        <v>882</v>
      </c>
      <c r="C179" t="s">
        <v>14</v>
      </c>
      <c r="D179" t="s">
        <v>47</v>
      </c>
      <c r="E179" t="s">
        <v>16</v>
      </c>
      <c r="F179" t="s">
        <v>661</v>
      </c>
      <c r="G179" t="s">
        <v>883</v>
      </c>
      <c r="H179" t="s">
        <v>884</v>
      </c>
      <c r="I179">
        <v>15</v>
      </c>
      <c r="J179" t="s">
        <v>885</v>
      </c>
      <c r="L179" t="s">
        <v>886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 x14ac:dyDescent="0.25">
      <c r="A180" t="s">
        <v>887</v>
      </c>
      <c r="B180" t="s">
        <v>888</v>
      </c>
      <c r="C180" t="s">
        <v>38</v>
      </c>
      <c r="D180" t="s">
        <v>47</v>
      </c>
      <c r="E180" t="s">
        <v>77</v>
      </c>
      <c r="F180" t="s">
        <v>805</v>
      </c>
      <c r="G180" t="s">
        <v>55</v>
      </c>
      <c r="H180" t="s">
        <v>889</v>
      </c>
      <c r="I180">
        <v>8</v>
      </c>
      <c r="J180" t="s">
        <v>890</v>
      </c>
      <c r="L180" t="s">
        <v>876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 x14ac:dyDescent="0.25">
      <c r="A181" t="s">
        <v>891</v>
      </c>
      <c r="B181" t="s">
        <v>892</v>
      </c>
      <c r="C181" t="s">
        <v>14</v>
      </c>
      <c r="D181" t="s">
        <v>47</v>
      </c>
      <c r="E181" t="s">
        <v>293</v>
      </c>
      <c r="F181" t="s">
        <v>676</v>
      </c>
      <c r="G181" t="s">
        <v>883</v>
      </c>
      <c r="H181" t="s">
        <v>893</v>
      </c>
      <c r="I181">
        <v>48</v>
      </c>
      <c r="J181" t="s">
        <v>894</v>
      </c>
      <c r="L181" t="s">
        <v>876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 x14ac:dyDescent="0.25">
      <c r="A182" t="s">
        <v>895</v>
      </c>
      <c r="B182" t="s">
        <v>896</v>
      </c>
      <c r="C182" t="s">
        <v>897</v>
      </c>
      <c r="D182" t="s">
        <v>171</v>
      </c>
      <c r="E182" t="s">
        <v>898</v>
      </c>
      <c r="F182" t="s">
        <v>899</v>
      </c>
      <c r="G182" t="s">
        <v>900</v>
      </c>
      <c r="H182" t="s">
        <v>901</v>
      </c>
      <c r="I182">
        <v>23</v>
      </c>
      <c r="J182" t="s">
        <v>902</v>
      </c>
      <c r="L182" t="s">
        <v>876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 x14ac:dyDescent="0.25">
      <c r="A183" t="s">
        <v>903</v>
      </c>
      <c r="B183" t="s">
        <v>904</v>
      </c>
      <c r="C183" t="s">
        <v>38</v>
      </c>
      <c r="D183" t="s">
        <v>47</v>
      </c>
      <c r="E183" t="s">
        <v>77</v>
      </c>
      <c r="F183" t="s">
        <v>805</v>
      </c>
      <c r="G183" t="s">
        <v>55</v>
      </c>
      <c r="H183" t="s">
        <v>889</v>
      </c>
      <c r="I183">
        <v>3</v>
      </c>
      <c r="J183" t="s">
        <v>905</v>
      </c>
      <c r="L183" t="s">
        <v>876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 x14ac:dyDescent="0.25">
      <c r="A184" t="s">
        <v>906</v>
      </c>
      <c r="B184" t="s">
        <v>907</v>
      </c>
      <c r="C184" t="s">
        <v>76</v>
      </c>
      <c r="D184" t="s">
        <v>15</v>
      </c>
      <c r="E184" t="s">
        <v>122</v>
      </c>
      <c r="F184" t="s">
        <v>681</v>
      </c>
      <c r="G184" t="s">
        <v>71</v>
      </c>
      <c r="H184" t="s">
        <v>908</v>
      </c>
      <c r="I184">
        <v>5</v>
      </c>
      <c r="J184" t="s">
        <v>909</v>
      </c>
      <c r="L184" t="s">
        <v>876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 x14ac:dyDescent="0.25">
      <c r="A185" t="s">
        <v>910</v>
      </c>
      <c r="B185" t="s">
        <v>911</v>
      </c>
      <c r="C185" t="s">
        <v>76</v>
      </c>
      <c r="D185" t="s">
        <v>47</v>
      </c>
      <c r="E185" t="s">
        <v>77</v>
      </c>
      <c r="F185" t="s">
        <v>805</v>
      </c>
      <c r="G185" t="s">
        <v>55</v>
      </c>
      <c r="H185" t="s">
        <v>912</v>
      </c>
      <c r="I185">
        <v>30</v>
      </c>
      <c r="J185" t="s">
        <v>913</v>
      </c>
      <c r="L185" t="s">
        <v>876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 x14ac:dyDescent="0.25">
      <c r="A186" t="s">
        <v>914</v>
      </c>
      <c r="B186" t="s">
        <v>915</v>
      </c>
      <c r="C186" t="s">
        <v>547</v>
      </c>
      <c r="D186" t="s">
        <v>47</v>
      </c>
      <c r="E186" t="s">
        <v>269</v>
      </c>
      <c r="F186" t="s">
        <v>916</v>
      </c>
      <c r="G186" t="s">
        <v>352</v>
      </c>
      <c r="H186" t="s">
        <v>560</v>
      </c>
      <c r="I186">
        <v>26</v>
      </c>
      <c r="J186" t="s">
        <v>917</v>
      </c>
      <c r="L186" t="s">
        <v>876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 x14ac:dyDescent="0.25">
      <c r="A187" t="s">
        <v>918</v>
      </c>
      <c r="B187" t="s">
        <v>919</v>
      </c>
      <c r="C187" t="s">
        <v>849</v>
      </c>
      <c r="D187" t="s">
        <v>47</v>
      </c>
      <c r="E187" t="s">
        <v>293</v>
      </c>
      <c r="F187" t="s">
        <v>676</v>
      </c>
      <c r="G187" t="s">
        <v>850</v>
      </c>
      <c r="H187" t="s">
        <v>920</v>
      </c>
      <c r="I187">
        <v>46</v>
      </c>
      <c r="J187" t="s">
        <v>921</v>
      </c>
      <c r="L187" t="s">
        <v>922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 x14ac:dyDescent="0.25">
      <c r="A188" t="s">
        <v>928</v>
      </c>
      <c r="B188" t="s">
        <v>929</v>
      </c>
      <c r="C188" t="s">
        <v>76</v>
      </c>
      <c r="D188" t="s">
        <v>15</v>
      </c>
      <c r="E188" t="s">
        <v>122</v>
      </c>
      <c r="F188" t="s">
        <v>930</v>
      </c>
      <c r="G188" t="s">
        <v>41</v>
      </c>
      <c r="H188" t="s">
        <v>124</v>
      </c>
      <c r="I188">
        <v>25</v>
      </c>
      <c r="J188" t="s">
        <v>931</v>
      </c>
      <c r="L188" t="s">
        <v>876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 x14ac:dyDescent="0.25">
      <c r="A189" t="s">
        <v>932</v>
      </c>
      <c r="B189" t="s">
        <v>933</v>
      </c>
      <c r="C189" t="s">
        <v>318</v>
      </c>
      <c r="D189" t="s">
        <v>47</v>
      </c>
      <c r="E189" t="s">
        <v>319</v>
      </c>
      <c r="F189" t="s">
        <v>934</v>
      </c>
      <c r="G189" t="s">
        <v>935</v>
      </c>
      <c r="H189" t="s">
        <v>936</v>
      </c>
      <c r="I189">
        <v>9</v>
      </c>
      <c r="J189" t="s">
        <v>937</v>
      </c>
      <c r="L189" t="s">
        <v>876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 x14ac:dyDescent="0.25">
      <c r="A190" t="s">
        <v>938</v>
      </c>
      <c r="B190" t="s">
        <v>939</v>
      </c>
      <c r="C190" t="s">
        <v>940</v>
      </c>
      <c r="D190" t="s">
        <v>47</v>
      </c>
      <c r="E190" t="s">
        <v>941</v>
      </c>
      <c r="F190" t="s">
        <v>942</v>
      </c>
      <c r="G190" t="s">
        <v>943</v>
      </c>
      <c r="H190" t="s">
        <v>944</v>
      </c>
      <c r="I190">
        <v>13</v>
      </c>
      <c r="J190" t="s">
        <v>945</v>
      </c>
      <c r="L190" t="s">
        <v>876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 x14ac:dyDescent="0.25">
      <c r="A191" t="s">
        <v>946</v>
      </c>
      <c r="B191" t="s">
        <v>947</v>
      </c>
      <c r="C191" t="s">
        <v>22</v>
      </c>
      <c r="D191" t="s">
        <v>47</v>
      </c>
      <c r="E191" t="s">
        <v>898</v>
      </c>
      <c r="F191" t="s">
        <v>948</v>
      </c>
      <c r="G191" t="s">
        <v>949</v>
      </c>
      <c r="H191" t="s">
        <v>950</v>
      </c>
      <c r="I191">
        <v>8</v>
      </c>
      <c r="J191" t="s">
        <v>951</v>
      </c>
      <c r="L191" t="s">
        <v>952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 x14ac:dyDescent="0.25">
      <c r="A192" t="s">
        <v>953</v>
      </c>
      <c r="B192" t="s">
        <v>954</v>
      </c>
      <c r="C192" t="s">
        <v>22</v>
      </c>
      <c r="D192" t="s">
        <v>47</v>
      </c>
      <c r="E192" t="s">
        <v>23</v>
      </c>
      <c r="F192" t="s">
        <v>692</v>
      </c>
      <c r="G192" t="s">
        <v>25</v>
      </c>
      <c r="H192" t="s">
        <v>159</v>
      </c>
      <c r="I192">
        <v>23</v>
      </c>
      <c r="J192" t="s">
        <v>955</v>
      </c>
      <c r="L192" t="s">
        <v>956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 x14ac:dyDescent="0.25">
      <c r="A193" t="s">
        <v>957</v>
      </c>
      <c r="B193" t="s">
        <v>958</v>
      </c>
      <c r="C193" t="s">
        <v>76</v>
      </c>
      <c r="D193" t="s">
        <v>47</v>
      </c>
      <c r="E193" t="s">
        <v>122</v>
      </c>
      <c r="F193" t="s">
        <v>681</v>
      </c>
      <c r="G193" t="s">
        <v>411</v>
      </c>
      <c r="H193" t="s">
        <v>959</v>
      </c>
      <c r="I193">
        <v>7</v>
      </c>
      <c r="J193" t="s">
        <v>960</v>
      </c>
      <c r="L193" t="s">
        <v>961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 x14ac:dyDescent="0.25">
      <c r="A194" t="s">
        <v>962</v>
      </c>
      <c r="B194" t="s">
        <v>963</v>
      </c>
      <c r="C194" t="s">
        <v>14</v>
      </c>
      <c r="D194" t="s">
        <v>47</v>
      </c>
      <c r="E194" t="s">
        <v>293</v>
      </c>
      <c r="F194" t="s">
        <v>676</v>
      </c>
      <c r="G194" t="s">
        <v>964</v>
      </c>
      <c r="H194" t="s">
        <v>965</v>
      </c>
      <c r="I194">
        <v>38</v>
      </c>
      <c r="J194" t="s">
        <v>966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 x14ac:dyDescent="0.25">
      <c r="A195" t="s">
        <v>967</v>
      </c>
      <c r="B195" t="s">
        <v>968</v>
      </c>
      <c r="C195" t="s">
        <v>14</v>
      </c>
      <c r="D195" t="s">
        <v>47</v>
      </c>
      <c r="E195" t="s">
        <v>228</v>
      </c>
      <c r="F195" t="s">
        <v>676</v>
      </c>
      <c r="G195" t="s">
        <v>230</v>
      </c>
      <c r="H195" t="s">
        <v>231</v>
      </c>
      <c r="I195">
        <v>41</v>
      </c>
      <c r="J195" t="s">
        <v>969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 x14ac:dyDescent="0.25">
      <c r="A196" t="s">
        <v>970</v>
      </c>
      <c r="B196" t="s">
        <v>971</v>
      </c>
      <c r="C196" t="s">
        <v>76</v>
      </c>
      <c r="D196" t="s">
        <v>15</v>
      </c>
      <c r="E196" t="s">
        <v>122</v>
      </c>
      <c r="F196" t="s">
        <v>681</v>
      </c>
      <c r="G196" t="s">
        <v>411</v>
      </c>
      <c r="H196" t="s">
        <v>972</v>
      </c>
      <c r="I196">
        <v>56</v>
      </c>
      <c r="J196" t="s">
        <v>973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 x14ac:dyDescent="0.25">
      <c r="A197" t="s">
        <v>974</v>
      </c>
      <c r="B197" t="s">
        <v>975</v>
      </c>
      <c r="C197" t="s">
        <v>76</v>
      </c>
      <c r="D197" t="s">
        <v>47</v>
      </c>
      <c r="E197" t="s">
        <v>77</v>
      </c>
      <c r="F197" t="s">
        <v>664</v>
      </c>
      <c r="G197" t="s">
        <v>411</v>
      </c>
      <c r="H197" t="s">
        <v>976</v>
      </c>
      <c r="I197">
        <v>32</v>
      </c>
      <c r="J197" t="s">
        <v>977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 x14ac:dyDescent="0.25">
      <c r="A198" t="s">
        <v>978</v>
      </c>
      <c r="B198" t="s">
        <v>979</v>
      </c>
      <c r="C198" t="s">
        <v>547</v>
      </c>
      <c r="D198" t="s">
        <v>15</v>
      </c>
      <c r="E198" t="s">
        <v>269</v>
      </c>
      <c r="F198" t="s">
        <v>916</v>
      </c>
      <c r="G198" t="s">
        <v>980</v>
      </c>
      <c r="H198" t="s">
        <v>981</v>
      </c>
      <c r="I198">
        <v>57</v>
      </c>
      <c r="J198" t="s">
        <v>982</v>
      </c>
      <c r="K198" t="s">
        <v>19</v>
      </c>
      <c r="L198" t="s">
        <v>983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 x14ac:dyDescent="0.25">
      <c r="A199" t="s">
        <v>984</v>
      </c>
      <c r="B199" t="s">
        <v>985</v>
      </c>
      <c r="C199" t="s">
        <v>38</v>
      </c>
      <c r="D199" t="s">
        <v>47</v>
      </c>
      <c r="E199" t="s">
        <v>77</v>
      </c>
      <c r="F199" t="s">
        <v>664</v>
      </c>
      <c r="G199" t="s">
        <v>71</v>
      </c>
      <c r="H199" t="s">
        <v>859</v>
      </c>
      <c r="I199">
        <v>24</v>
      </c>
      <c r="J199" t="s">
        <v>986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 x14ac:dyDescent="0.25">
      <c r="A200" t="s">
        <v>987</v>
      </c>
      <c r="B200" t="s">
        <v>988</v>
      </c>
      <c r="C200" t="s">
        <v>268</v>
      </c>
      <c r="D200" t="s">
        <v>47</v>
      </c>
      <c r="E200" t="s">
        <v>989</v>
      </c>
      <c r="F200" t="s">
        <v>990</v>
      </c>
      <c r="G200" t="s">
        <v>352</v>
      </c>
      <c r="H200" t="s">
        <v>991</v>
      </c>
      <c r="I200">
        <v>147</v>
      </c>
      <c r="J200" t="s">
        <v>992</v>
      </c>
      <c r="L200" t="s">
        <v>983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 x14ac:dyDescent="0.25">
      <c r="A201" t="s">
        <v>993</v>
      </c>
      <c r="B201" t="s">
        <v>994</v>
      </c>
      <c r="C201" t="s">
        <v>76</v>
      </c>
      <c r="D201" t="s">
        <v>47</v>
      </c>
      <c r="E201" t="s">
        <v>77</v>
      </c>
      <c r="F201" t="s">
        <v>805</v>
      </c>
      <c r="G201" t="s">
        <v>55</v>
      </c>
      <c r="H201" t="s">
        <v>995</v>
      </c>
      <c r="I201">
        <v>46</v>
      </c>
      <c r="J201" t="s">
        <v>996</v>
      </c>
      <c r="L201" t="s">
        <v>983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 x14ac:dyDescent="0.25">
      <c r="A202" t="s">
        <v>997</v>
      </c>
      <c r="B202" t="s">
        <v>998</v>
      </c>
      <c r="C202" t="s">
        <v>38</v>
      </c>
      <c r="D202" t="s">
        <v>15</v>
      </c>
      <c r="E202" t="s">
        <v>39</v>
      </c>
      <c r="F202" t="s">
        <v>669</v>
      </c>
      <c r="G202" t="s">
        <v>41</v>
      </c>
      <c r="H202" t="s">
        <v>825</v>
      </c>
      <c r="I202">
        <v>14</v>
      </c>
      <c r="J202" t="s">
        <v>999</v>
      </c>
      <c r="L202" t="s">
        <v>983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 x14ac:dyDescent="0.25">
      <c r="A203" t="s">
        <v>1000</v>
      </c>
      <c r="B203" t="s">
        <v>1001</v>
      </c>
      <c r="C203" t="s">
        <v>76</v>
      </c>
      <c r="D203" t="s">
        <v>47</v>
      </c>
      <c r="E203" t="s">
        <v>781</v>
      </c>
      <c r="F203" t="s">
        <v>681</v>
      </c>
      <c r="G203" t="s">
        <v>41</v>
      </c>
      <c r="H203" t="s">
        <v>782</v>
      </c>
      <c r="I203">
        <v>10</v>
      </c>
      <c r="J203" t="s">
        <v>1002</v>
      </c>
      <c r="L203" t="s">
        <v>956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 x14ac:dyDescent="0.25">
      <c r="A204" t="s">
        <v>1003</v>
      </c>
      <c r="B204" t="s">
        <v>1004</v>
      </c>
      <c r="C204" t="s">
        <v>191</v>
      </c>
      <c r="D204" t="s">
        <v>47</v>
      </c>
      <c r="E204" t="s">
        <v>23</v>
      </c>
      <c r="F204" t="s">
        <v>692</v>
      </c>
      <c r="G204" t="s">
        <v>25</v>
      </c>
      <c r="H204" t="s">
        <v>866</v>
      </c>
      <c r="I204">
        <v>10</v>
      </c>
      <c r="J204" t="s">
        <v>1005</v>
      </c>
      <c r="L204" t="s">
        <v>956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 x14ac:dyDescent="0.25">
      <c r="A205" t="s">
        <v>1006</v>
      </c>
      <c r="B205" t="s">
        <v>1007</v>
      </c>
      <c r="C205" t="s">
        <v>191</v>
      </c>
      <c r="D205" t="s">
        <v>47</v>
      </c>
      <c r="E205" t="s">
        <v>23</v>
      </c>
      <c r="F205" t="s">
        <v>692</v>
      </c>
      <c r="G205" t="s">
        <v>25</v>
      </c>
      <c r="H205" t="s">
        <v>866</v>
      </c>
      <c r="I205">
        <v>180</v>
      </c>
      <c r="J205" t="s">
        <v>1008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 x14ac:dyDescent="0.25">
      <c r="A206" t="s">
        <v>1009</v>
      </c>
      <c r="B206" t="s">
        <v>1010</v>
      </c>
      <c r="C206" t="s">
        <v>98</v>
      </c>
      <c r="D206" t="s">
        <v>47</v>
      </c>
      <c r="E206" t="s">
        <v>99</v>
      </c>
      <c r="F206" t="s">
        <v>713</v>
      </c>
      <c r="G206" t="s">
        <v>1011</v>
      </c>
      <c r="H206" t="s">
        <v>1012</v>
      </c>
      <c r="I206">
        <v>3</v>
      </c>
      <c r="J206" t="s">
        <v>1013</v>
      </c>
      <c r="L206" t="s">
        <v>1014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 x14ac:dyDescent="0.25">
      <c r="A207" t="s">
        <v>1015</v>
      </c>
      <c r="B207" t="s">
        <v>1016</v>
      </c>
      <c r="C207" t="s">
        <v>1017</v>
      </c>
      <c r="D207" t="s">
        <v>47</v>
      </c>
      <c r="E207" t="s">
        <v>898</v>
      </c>
      <c r="F207" t="s">
        <v>948</v>
      </c>
      <c r="G207" t="s">
        <v>1018</v>
      </c>
      <c r="H207" t="s">
        <v>1019</v>
      </c>
      <c r="I207">
        <v>3</v>
      </c>
      <c r="J207" t="s">
        <v>1020</v>
      </c>
      <c r="L207" t="s">
        <v>1021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 x14ac:dyDescent="0.25">
      <c r="A208" t="s">
        <v>1022</v>
      </c>
      <c r="B208" t="s">
        <v>1023</v>
      </c>
      <c r="C208" t="s">
        <v>14</v>
      </c>
      <c r="D208" t="s">
        <v>15</v>
      </c>
      <c r="E208" t="s">
        <v>293</v>
      </c>
      <c r="F208" t="s">
        <v>676</v>
      </c>
      <c r="G208" t="s">
        <v>295</v>
      </c>
      <c r="H208" t="s">
        <v>296</v>
      </c>
      <c r="I208">
        <v>47</v>
      </c>
      <c r="J208" t="s">
        <v>1024</v>
      </c>
      <c r="K208" t="s">
        <v>19</v>
      </c>
      <c r="L208" t="s">
        <v>983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 x14ac:dyDescent="0.25">
      <c r="A209" t="s">
        <v>1025</v>
      </c>
      <c r="B209" t="s">
        <v>1026</v>
      </c>
      <c r="C209" t="s">
        <v>268</v>
      </c>
      <c r="D209" t="s">
        <v>47</v>
      </c>
      <c r="E209" t="s">
        <v>269</v>
      </c>
      <c r="F209" t="s">
        <v>739</v>
      </c>
      <c r="G209" t="s">
        <v>1027</v>
      </c>
      <c r="H209" t="s">
        <v>1028</v>
      </c>
      <c r="I209">
        <v>64</v>
      </c>
      <c r="J209" t="s">
        <v>1029</v>
      </c>
      <c r="L209" t="s">
        <v>983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 x14ac:dyDescent="0.25">
      <c r="A210" t="s">
        <v>1030</v>
      </c>
      <c r="B210" t="s">
        <v>1031</v>
      </c>
      <c r="C210" t="s">
        <v>76</v>
      </c>
      <c r="D210" t="s">
        <v>15</v>
      </c>
      <c r="E210" t="s">
        <v>77</v>
      </c>
      <c r="F210" t="s">
        <v>805</v>
      </c>
      <c r="G210" t="s">
        <v>41</v>
      </c>
      <c r="H210" t="s">
        <v>1032</v>
      </c>
      <c r="I210">
        <v>6</v>
      </c>
      <c r="J210" t="s">
        <v>1033</v>
      </c>
      <c r="L210" t="s">
        <v>876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 x14ac:dyDescent="0.25">
      <c r="A211" t="s">
        <v>1034</v>
      </c>
      <c r="B211" t="s">
        <v>1035</v>
      </c>
      <c r="C211" t="s">
        <v>849</v>
      </c>
      <c r="D211" t="s">
        <v>47</v>
      </c>
      <c r="E211" t="s">
        <v>293</v>
      </c>
      <c r="F211" t="s">
        <v>676</v>
      </c>
      <c r="G211" t="s">
        <v>850</v>
      </c>
      <c r="H211" t="s">
        <v>920</v>
      </c>
      <c r="I211">
        <v>13</v>
      </c>
      <c r="J211" t="s">
        <v>1036</v>
      </c>
      <c r="L211" t="s">
        <v>876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 x14ac:dyDescent="0.25">
      <c r="A212" t="s">
        <v>1037</v>
      </c>
      <c r="B212" t="s">
        <v>1038</v>
      </c>
      <c r="C212" t="s">
        <v>60</v>
      </c>
      <c r="D212" t="s">
        <v>47</v>
      </c>
      <c r="E212" t="s">
        <v>23</v>
      </c>
      <c r="F212" t="s">
        <v>688</v>
      </c>
      <c r="G212" t="s">
        <v>49</v>
      </c>
      <c r="H212" t="s">
        <v>338</v>
      </c>
      <c r="I212">
        <v>8</v>
      </c>
      <c r="J212" t="s">
        <v>1039</v>
      </c>
      <c r="L212" t="s">
        <v>983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 x14ac:dyDescent="0.25">
      <c r="A213" t="s">
        <v>1040</v>
      </c>
      <c r="B213" t="s">
        <v>1041</v>
      </c>
      <c r="C213" t="s">
        <v>22</v>
      </c>
      <c r="D213" t="s">
        <v>47</v>
      </c>
      <c r="E213" t="s">
        <v>23</v>
      </c>
      <c r="F213" t="s">
        <v>688</v>
      </c>
      <c r="G213" t="s">
        <v>49</v>
      </c>
      <c r="H213" t="s">
        <v>1042</v>
      </c>
      <c r="I213">
        <v>40</v>
      </c>
      <c r="J213" t="s">
        <v>1043</v>
      </c>
      <c r="L213" t="s">
        <v>983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 x14ac:dyDescent="0.25">
      <c r="A214" t="s">
        <v>1044</v>
      </c>
      <c r="B214" t="s">
        <v>1045</v>
      </c>
      <c r="C214" t="s">
        <v>30</v>
      </c>
      <c r="D214" t="s">
        <v>15</v>
      </c>
      <c r="E214" t="s">
        <v>31</v>
      </c>
      <c r="F214" t="s">
        <v>1046</v>
      </c>
      <c r="G214" t="s">
        <v>1047</v>
      </c>
      <c r="H214" t="s">
        <v>1048</v>
      </c>
      <c r="I214">
        <v>63</v>
      </c>
      <c r="J214" t="s">
        <v>1049</v>
      </c>
      <c r="K214" t="s">
        <v>19</v>
      </c>
      <c r="L214" t="s">
        <v>983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 x14ac:dyDescent="0.25">
      <c r="A215" t="s">
        <v>1050</v>
      </c>
      <c r="B215" t="s">
        <v>1051</v>
      </c>
      <c r="C215" t="s">
        <v>60</v>
      </c>
      <c r="D215" t="s">
        <v>47</v>
      </c>
      <c r="E215" t="s">
        <v>23</v>
      </c>
      <c r="F215" t="s">
        <v>688</v>
      </c>
      <c r="G215" t="s">
        <v>49</v>
      </c>
      <c r="H215" t="s">
        <v>1052</v>
      </c>
      <c r="I215">
        <v>23</v>
      </c>
      <c r="J215" t="s">
        <v>1053</v>
      </c>
      <c r="L215" t="s">
        <v>1021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 x14ac:dyDescent="0.25">
      <c r="A216" t="s">
        <v>1054</v>
      </c>
      <c r="B216" t="s">
        <v>1055</v>
      </c>
      <c r="C216" t="s">
        <v>30</v>
      </c>
      <c r="D216" t="s">
        <v>15</v>
      </c>
      <c r="E216" t="s">
        <v>31</v>
      </c>
      <c r="F216" t="s">
        <v>1046</v>
      </c>
      <c r="G216" t="s">
        <v>1056</v>
      </c>
      <c r="H216" t="s">
        <v>1057</v>
      </c>
      <c r="I216">
        <v>9</v>
      </c>
      <c r="J216" t="s">
        <v>1058</v>
      </c>
      <c r="K216" t="s">
        <v>19</v>
      </c>
      <c r="L216" t="s">
        <v>1059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 x14ac:dyDescent="0.25">
      <c r="A217" t="s">
        <v>1060</v>
      </c>
      <c r="B217" t="s">
        <v>1061</v>
      </c>
      <c r="C217" t="s">
        <v>179</v>
      </c>
      <c r="D217" t="s">
        <v>15</v>
      </c>
      <c r="E217" t="s">
        <v>23</v>
      </c>
      <c r="F217" t="s">
        <v>688</v>
      </c>
      <c r="G217" t="s">
        <v>49</v>
      </c>
      <c r="H217" t="s">
        <v>186</v>
      </c>
      <c r="I217">
        <v>22</v>
      </c>
      <c r="J217" t="s">
        <v>1062</v>
      </c>
      <c r="L217" t="s">
        <v>1021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 x14ac:dyDescent="0.25">
      <c r="A218" t="s">
        <v>1063</v>
      </c>
      <c r="B218" t="s">
        <v>1064</v>
      </c>
      <c r="C218" t="s">
        <v>268</v>
      </c>
      <c r="D218" t="s">
        <v>15</v>
      </c>
      <c r="E218" t="s">
        <v>269</v>
      </c>
      <c r="F218" t="s">
        <v>739</v>
      </c>
      <c r="G218" t="s">
        <v>1065</v>
      </c>
      <c r="H218" t="s">
        <v>1066</v>
      </c>
      <c r="I218">
        <v>20</v>
      </c>
      <c r="J218" t="s">
        <v>1067</v>
      </c>
      <c r="K218" t="s">
        <v>19</v>
      </c>
      <c r="L218" t="s">
        <v>983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 x14ac:dyDescent="0.25">
      <c r="A219" t="s">
        <v>1068</v>
      </c>
      <c r="B219" t="s">
        <v>1069</v>
      </c>
      <c r="C219" t="s">
        <v>179</v>
      </c>
      <c r="D219" t="s">
        <v>15</v>
      </c>
      <c r="E219" t="s">
        <v>23</v>
      </c>
      <c r="F219" t="s">
        <v>724</v>
      </c>
      <c r="G219" t="s">
        <v>180</v>
      </c>
      <c r="H219" t="s">
        <v>1070</v>
      </c>
      <c r="I219">
        <v>3</v>
      </c>
      <c r="J219" t="s">
        <v>1071</v>
      </c>
      <c r="L219" t="s">
        <v>1021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 x14ac:dyDescent="0.25">
      <c r="A220" t="s">
        <v>1072</v>
      </c>
      <c r="B220" t="s">
        <v>1073</v>
      </c>
      <c r="C220" t="s">
        <v>14</v>
      </c>
      <c r="D220" t="s">
        <v>15</v>
      </c>
      <c r="E220" t="s">
        <v>293</v>
      </c>
      <c r="F220" t="s">
        <v>676</v>
      </c>
      <c r="G220" t="s">
        <v>964</v>
      </c>
      <c r="H220" t="s">
        <v>1074</v>
      </c>
      <c r="I220">
        <v>18</v>
      </c>
      <c r="J220" t="s">
        <v>1075</v>
      </c>
      <c r="K220" t="s">
        <v>19</v>
      </c>
      <c r="L220" t="s">
        <v>1059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 x14ac:dyDescent="0.25">
      <c r="A221" t="s">
        <v>1076</v>
      </c>
      <c r="B221" t="s">
        <v>1077</v>
      </c>
      <c r="C221" t="s">
        <v>38</v>
      </c>
      <c r="D221" t="s">
        <v>47</v>
      </c>
      <c r="E221" t="s">
        <v>39</v>
      </c>
      <c r="F221" t="s">
        <v>669</v>
      </c>
      <c r="G221" t="s">
        <v>55</v>
      </c>
      <c r="H221" t="s">
        <v>1078</v>
      </c>
      <c r="I221">
        <v>5</v>
      </c>
      <c r="J221" t="s">
        <v>1079</v>
      </c>
      <c r="L221" t="s">
        <v>1014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 x14ac:dyDescent="0.25">
      <c r="A222" t="s">
        <v>1080</v>
      </c>
      <c r="B222" t="s">
        <v>1081</v>
      </c>
      <c r="C222" t="s">
        <v>22</v>
      </c>
      <c r="D222" t="s">
        <v>15</v>
      </c>
      <c r="E222" t="s">
        <v>1082</v>
      </c>
      <c r="F222" t="s">
        <v>1083</v>
      </c>
      <c r="G222" t="s">
        <v>1084</v>
      </c>
      <c r="H222" t="s">
        <v>1085</v>
      </c>
      <c r="I222">
        <v>25</v>
      </c>
      <c r="J222" t="s">
        <v>1086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 x14ac:dyDescent="0.25">
      <c r="A223" t="s">
        <v>1087</v>
      </c>
      <c r="B223" t="s">
        <v>1088</v>
      </c>
      <c r="C223" t="s">
        <v>268</v>
      </c>
      <c r="D223" t="s">
        <v>15</v>
      </c>
      <c r="E223" t="s">
        <v>269</v>
      </c>
      <c r="F223" t="s">
        <v>739</v>
      </c>
      <c r="G223" t="s">
        <v>1089</v>
      </c>
      <c r="H223" t="s">
        <v>1090</v>
      </c>
      <c r="I223">
        <v>38</v>
      </c>
      <c r="J223" t="s">
        <v>1091</v>
      </c>
      <c r="K223" t="s">
        <v>19</v>
      </c>
      <c r="L223" t="s">
        <v>983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 x14ac:dyDescent="0.25">
      <c r="A224" t="s">
        <v>1092</v>
      </c>
      <c r="B224" t="s">
        <v>1093</v>
      </c>
      <c r="C224" t="s">
        <v>76</v>
      </c>
      <c r="D224" t="s">
        <v>47</v>
      </c>
      <c r="E224" t="s">
        <v>122</v>
      </c>
      <c r="F224" t="s">
        <v>681</v>
      </c>
      <c r="G224" t="s">
        <v>41</v>
      </c>
      <c r="H224" t="s">
        <v>484</v>
      </c>
      <c r="I224">
        <v>26</v>
      </c>
      <c r="J224" t="s">
        <v>1094</v>
      </c>
      <c r="L224" t="s">
        <v>1059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 x14ac:dyDescent="0.25">
      <c r="A225" t="s">
        <v>1095</v>
      </c>
      <c r="B225" t="s">
        <v>1096</v>
      </c>
      <c r="C225" t="s">
        <v>201</v>
      </c>
      <c r="D225" t="s">
        <v>171</v>
      </c>
      <c r="E225" t="s">
        <v>276</v>
      </c>
      <c r="F225" t="s">
        <v>700</v>
      </c>
      <c r="G225" t="s">
        <v>701</v>
      </c>
      <c r="H225" t="s">
        <v>702</v>
      </c>
      <c r="I225">
        <v>165</v>
      </c>
      <c r="J225" t="s">
        <v>1097</v>
      </c>
      <c r="L225" t="s">
        <v>1059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 x14ac:dyDescent="0.25">
      <c r="A226" t="s">
        <v>1098</v>
      </c>
      <c r="B226" t="s">
        <v>1099</v>
      </c>
      <c r="C226" t="s">
        <v>268</v>
      </c>
      <c r="D226" t="s">
        <v>15</v>
      </c>
      <c r="E226" t="s">
        <v>269</v>
      </c>
      <c r="F226" t="s">
        <v>739</v>
      </c>
      <c r="G226" t="s">
        <v>1100</v>
      </c>
      <c r="H226" t="s">
        <v>1101</v>
      </c>
      <c r="I226">
        <v>29</v>
      </c>
      <c r="J226" t="s">
        <v>1102</v>
      </c>
      <c r="K226" t="s">
        <v>19</v>
      </c>
      <c r="L226" t="s">
        <v>1059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 x14ac:dyDescent="0.25">
      <c r="A227" t="s">
        <v>1103</v>
      </c>
      <c r="B227" t="s">
        <v>1104</v>
      </c>
      <c r="C227" t="s">
        <v>191</v>
      </c>
      <c r="D227" t="s">
        <v>15</v>
      </c>
      <c r="E227" t="s">
        <v>23</v>
      </c>
      <c r="F227" t="s">
        <v>692</v>
      </c>
      <c r="G227" t="s">
        <v>1105</v>
      </c>
      <c r="H227" t="s">
        <v>1106</v>
      </c>
      <c r="I227">
        <v>82</v>
      </c>
      <c r="J227" t="s">
        <v>1107</v>
      </c>
      <c r="K227" t="s">
        <v>19</v>
      </c>
      <c r="L227" t="s">
        <v>1059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 x14ac:dyDescent="0.25">
      <c r="A228" t="s">
        <v>1108</v>
      </c>
      <c r="B228" t="s">
        <v>1109</v>
      </c>
      <c r="C228" t="s">
        <v>268</v>
      </c>
      <c r="D228" t="s">
        <v>47</v>
      </c>
      <c r="E228" t="s">
        <v>269</v>
      </c>
      <c r="F228" t="s">
        <v>739</v>
      </c>
      <c r="G228" t="s">
        <v>1110</v>
      </c>
      <c r="H228" t="s">
        <v>1111</v>
      </c>
      <c r="I228">
        <v>48</v>
      </c>
      <c r="J228" t="s">
        <v>1112</v>
      </c>
      <c r="L228" t="s">
        <v>1113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 x14ac:dyDescent="0.25">
      <c r="A229" t="s">
        <v>1114</v>
      </c>
      <c r="B229" t="s">
        <v>1115</v>
      </c>
      <c r="C229" t="s">
        <v>22</v>
      </c>
      <c r="D229" t="s">
        <v>171</v>
      </c>
      <c r="E229" t="s">
        <v>898</v>
      </c>
      <c r="F229" t="s">
        <v>899</v>
      </c>
      <c r="G229" t="s">
        <v>1116</v>
      </c>
      <c r="H229" t="s">
        <v>1117</v>
      </c>
      <c r="I229">
        <v>92</v>
      </c>
      <c r="J229" t="s">
        <v>1118</v>
      </c>
      <c r="L229" t="s">
        <v>1113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 x14ac:dyDescent="0.25">
      <c r="A230" t="s">
        <v>1119</v>
      </c>
      <c r="B230" t="s">
        <v>1120</v>
      </c>
      <c r="C230" t="s">
        <v>179</v>
      </c>
      <c r="D230" t="s">
        <v>47</v>
      </c>
      <c r="E230" t="s">
        <v>23</v>
      </c>
      <c r="F230" t="s">
        <v>688</v>
      </c>
      <c r="G230" t="s">
        <v>49</v>
      </c>
      <c r="H230" t="s">
        <v>650</v>
      </c>
      <c r="I230">
        <v>5</v>
      </c>
      <c r="J230" t="s">
        <v>1121</v>
      </c>
      <c r="L230" t="s">
        <v>983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 x14ac:dyDescent="0.25">
      <c r="A231" t="s">
        <v>1122</v>
      </c>
      <c r="B231" t="s">
        <v>1123</v>
      </c>
      <c r="C231" t="s">
        <v>46</v>
      </c>
      <c r="D231" t="s">
        <v>47</v>
      </c>
      <c r="E231" t="s">
        <v>23</v>
      </c>
      <c r="F231" t="s">
        <v>724</v>
      </c>
      <c r="G231" t="s">
        <v>25</v>
      </c>
      <c r="H231" t="s">
        <v>167</v>
      </c>
      <c r="I231">
        <v>56</v>
      </c>
      <c r="J231" t="s">
        <v>1124</v>
      </c>
      <c r="L231" t="s">
        <v>1113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 x14ac:dyDescent="0.25">
      <c r="A232" t="s">
        <v>1125</v>
      </c>
      <c r="B232" t="s">
        <v>1126</v>
      </c>
      <c r="C232" t="s">
        <v>179</v>
      </c>
      <c r="D232" t="s">
        <v>15</v>
      </c>
      <c r="E232" t="s">
        <v>23</v>
      </c>
      <c r="F232" t="s">
        <v>688</v>
      </c>
      <c r="G232" t="s">
        <v>49</v>
      </c>
      <c r="H232" t="s">
        <v>186</v>
      </c>
      <c r="I232">
        <v>62</v>
      </c>
      <c r="J232" t="s">
        <v>1127</v>
      </c>
      <c r="L232" t="s">
        <v>1113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 x14ac:dyDescent="0.25">
      <c r="A233" t="s">
        <v>1128</v>
      </c>
      <c r="B233" t="s">
        <v>1129</v>
      </c>
      <c r="C233" t="s">
        <v>22</v>
      </c>
      <c r="D233" t="s">
        <v>15</v>
      </c>
      <c r="E233" t="s">
        <v>23</v>
      </c>
      <c r="F233" t="s">
        <v>692</v>
      </c>
      <c r="G233" t="s">
        <v>347</v>
      </c>
      <c r="H233" t="s">
        <v>1130</v>
      </c>
      <c r="I233">
        <v>27</v>
      </c>
      <c r="J233" t="s">
        <v>1131</v>
      </c>
      <c r="K233" t="s">
        <v>19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 x14ac:dyDescent="0.25">
      <c r="A234" t="s">
        <v>1132</v>
      </c>
      <c r="B234" t="s">
        <v>1133</v>
      </c>
      <c r="C234" t="s">
        <v>179</v>
      </c>
      <c r="D234" t="s">
        <v>15</v>
      </c>
      <c r="E234" t="s">
        <v>23</v>
      </c>
      <c r="F234" t="s">
        <v>724</v>
      </c>
      <c r="G234" t="s">
        <v>180</v>
      </c>
      <c r="H234" t="s">
        <v>181</v>
      </c>
      <c r="I234">
        <v>6</v>
      </c>
      <c r="J234" t="s">
        <v>1134</v>
      </c>
      <c r="L234" t="s">
        <v>1135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 x14ac:dyDescent="0.25">
      <c r="A235" t="s">
        <v>1136</v>
      </c>
      <c r="B235" t="s">
        <v>1137</v>
      </c>
      <c r="C235" t="s">
        <v>22</v>
      </c>
      <c r="D235" t="s">
        <v>15</v>
      </c>
      <c r="E235" t="s">
        <v>23</v>
      </c>
      <c r="F235" t="s">
        <v>692</v>
      </c>
      <c r="G235" t="s">
        <v>347</v>
      </c>
      <c r="H235" t="s">
        <v>1130</v>
      </c>
      <c r="I235">
        <v>0</v>
      </c>
      <c r="J235" t="s">
        <v>1138</v>
      </c>
      <c r="K235" t="s">
        <v>19</v>
      </c>
      <c r="L235" t="s">
        <v>1135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 x14ac:dyDescent="0.25">
      <c r="A236" t="s">
        <v>1139</v>
      </c>
      <c r="B236" t="s">
        <v>1140</v>
      </c>
      <c r="C236" t="s">
        <v>654</v>
      </c>
      <c r="D236" t="s">
        <v>15</v>
      </c>
      <c r="E236" t="s">
        <v>293</v>
      </c>
      <c r="F236" t="s">
        <v>676</v>
      </c>
      <c r="G236" t="s">
        <v>230</v>
      </c>
      <c r="H236" t="s">
        <v>841</v>
      </c>
      <c r="I236">
        <v>62</v>
      </c>
      <c r="J236" t="s">
        <v>1141</v>
      </c>
      <c r="K236" t="s">
        <v>19</v>
      </c>
      <c r="L236" t="s">
        <v>1135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 x14ac:dyDescent="0.25">
      <c r="A237" t="s">
        <v>1142</v>
      </c>
      <c r="B237" t="s">
        <v>1143</v>
      </c>
      <c r="C237" t="s">
        <v>14</v>
      </c>
      <c r="D237" t="s">
        <v>47</v>
      </c>
      <c r="E237" t="s">
        <v>16</v>
      </c>
      <c r="F237" t="s">
        <v>661</v>
      </c>
      <c r="G237" t="s">
        <v>883</v>
      </c>
      <c r="H237" t="s">
        <v>1144</v>
      </c>
      <c r="I237">
        <v>6</v>
      </c>
      <c r="J237" t="s">
        <v>1145</v>
      </c>
      <c r="L237" t="s">
        <v>1135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 x14ac:dyDescent="0.25">
      <c r="A238" t="s">
        <v>1146</v>
      </c>
      <c r="B238" t="s">
        <v>1147</v>
      </c>
      <c r="C238" t="s">
        <v>201</v>
      </c>
      <c r="D238" t="s">
        <v>171</v>
      </c>
      <c r="E238" t="s">
        <v>1148</v>
      </c>
      <c r="F238" t="s">
        <v>1149</v>
      </c>
      <c r="G238" t="s">
        <v>1150</v>
      </c>
      <c r="H238" t="s">
        <v>1151</v>
      </c>
      <c r="I238">
        <v>12</v>
      </c>
      <c r="J238" t="s">
        <v>1152</v>
      </c>
      <c r="L238" t="s">
        <v>1135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 x14ac:dyDescent="0.25">
      <c r="A239" t="s">
        <v>1153</v>
      </c>
      <c r="B239" t="s">
        <v>1154</v>
      </c>
      <c r="C239" t="s">
        <v>14</v>
      </c>
      <c r="D239" t="s">
        <v>15</v>
      </c>
      <c r="E239" t="s">
        <v>293</v>
      </c>
      <c r="F239" t="s">
        <v>676</v>
      </c>
      <c r="G239" t="s">
        <v>883</v>
      </c>
      <c r="H239" t="s">
        <v>1155</v>
      </c>
      <c r="I239">
        <v>27</v>
      </c>
      <c r="J239" t="s">
        <v>1156</v>
      </c>
      <c r="K239" t="s">
        <v>19</v>
      </c>
      <c r="L239" t="s">
        <v>1135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 x14ac:dyDescent="0.25">
      <c r="A240" t="s">
        <v>1157</v>
      </c>
      <c r="B240" t="s">
        <v>1158</v>
      </c>
      <c r="C240" t="s">
        <v>191</v>
      </c>
      <c r="D240" t="s">
        <v>47</v>
      </c>
      <c r="E240" t="s">
        <v>23</v>
      </c>
      <c r="F240" t="s">
        <v>692</v>
      </c>
      <c r="G240" t="s">
        <v>25</v>
      </c>
      <c r="H240" t="s">
        <v>866</v>
      </c>
      <c r="I240">
        <v>43</v>
      </c>
      <c r="J240" t="s">
        <v>1159</v>
      </c>
      <c r="L240" t="s">
        <v>876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 x14ac:dyDescent="0.25">
      <c r="A241" t="s">
        <v>1161</v>
      </c>
      <c r="B241" t="s">
        <v>1162</v>
      </c>
      <c r="C241" t="s">
        <v>14</v>
      </c>
      <c r="D241" t="s">
        <v>47</v>
      </c>
      <c r="E241" t="s">
        <v>293</v>
      </c>
      <c r="F241" t="s">
        <v>676</v>
      </c>
      <c r="G241" t="s">
        <v>883</v>
      </c>
      <c r="H241" t="s">
        <v>893</v>
      </c>
      <c r="I241">
        <v>12</v>
      </c>
      <c r="J241" t="s">
        <v>1163</v>
      </c>
      <c r="L241" t="s">
        <v>1135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 x14ac:dyDescent="0.25">
      <c r="A242" t="s">
        <v>1164</v>
      </c>
      <c r="B242" t="s">
        <v>1165</v>
      </c>
      <c r="C242" t="s">
        <v>547</v>
      </c>
      <c r="D242" t="s">
        <v>47</v>
      </c>
      <c r="E242" t="s">
        <v>269</v>
      </c>
      <c r="F242" t="s">
        <v>916</v>
      </c>
      <c r="G242" t="s">
        <v>271</v>
      </c>
      <c r="H242" t="s">
        <v>1166</v>
      </c>
      <c r="I242">
        <v>111</v>
      </c>
      <c r="J242" t="s">
        <v>1167</v>
      </c>
      <c r="L242" t="s">
        <v>1135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 x14ac:dyDescent="0.25">
      <c r="A243" t="s">
        <v>1168</v>
      </c>
      <c r="B243" t="s">
        <v>1169</v>
      </c>
      <c r="C243" t="s">
        <v>22</v>
      </c>
      <c r="D243" t="s">
        <v>171</v>
      </c>
      <c r="E243" t="s">
        <v>898</v>
      </c>
      <c r="F243" t="s">
        <v>899</v>
      </c>
      <c r="G243" t="s">
        <v>900</v>
      </c>
      <c r="H243" t="s">
        <v>1170</v>
      </c>
      <c r="I243">
        <v>50</v>
      </c>
      <c r="J243" t="s">
        <v>1171</v>
      </c>
      <c r="L243" t="s">
        <v>1172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 x14ac:dyDescent="0.25">
      <c r="A244" t="s">
        <v>1173</v>
      </c>
      <c r="B244" t="s">
        <v>1174</v>
      </c>
      <c r="C244" t="s">
        <v>849</v>
      </c>
      <c r="D244" t="s">
        <v>47</v>
      </c>
      <c r="E244" t="s">
        <v>293</v>
      </c>
      <c r="F244" t="s">
        <v>676</v>
      </c>
      <c r="G244" t="s">
        <v>850</v>
      </c>
      <c r="H244" t="s">
        <v>920</v>
      </c>
      <c r="I244">
        <v>63</v>
      </c>
      <c r="J244" t="s">
        <v>1175</v>
      </c>
      <c r="L244" t="s">
        <v>1113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 x14ac:dyDescent="0.25">
      <c r="A245" t="s">
        <v>1176</v>
      </c>
      <c r="B245" t="s">
        <v>1177</v>
      </c>
      <c r="C245" t="s">
        <v>76</v>
      </c>
      <c r="D245" t="s">
        <v>15</v>
      </c>
      <c r="E245" t="s">
        <v>77</v>
      </c>
      <c r="F245" t="s">
        <v>805</v>
      </c>
      <c r="G245" t="s">
        <v>411</v>
      </c>
      <c r="H245" t="s">
        <v>1178</v>
      </c>
      <c r="I245">
        <v>45</v>
      </c>
      <c r="J245" t="s">
        <v>1179</v>
      </c>
      <c r="L245" t="s">
        <v>983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 x14ac:dyDescent="0.25">
      <c r="A246" t="s">
        <v>1180</v>
      </c>
      <c r="B246" t="s">
        <v>1181</v>
      </c>
      <c r="C246" t="s">
        <v>191</v>
      </c>
      <c r="D246" t="s">
        <v>47</v>
      </c>
      <c r="E246" t="s">
        <v>23</v>
      </c>
      <c r="F246" t="s">
        <v>692</v>
      </c>
      <c r="G246" t="s">
        <v>25</v>
      </c>
      <c r="H246" t="s">
        <v>866</v>
      </c>
      <c r="I246">
        <v>25</v>
      </c>
      <c r="J246" t="s">
        <v>1182</v>
      </c>
      <c r="L246" t="s">
        <v>1113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 x14ac:dyDescent="0.25">
      <c r="A247" t="s">
        <v>1183</v>
      </c>
      <c r="B247" t="s">
        <v>1184</v>
      </c>
      <c r="C247" t="s">
        <v>76</v>
      </c>
      <c r="D247" t="s">
        <v>15</v>
      </c>
      <c r="E247" t="s">
        <v>77</v>
      </c>
      <c r="F247" t="s">
        <v>805</v>
      </c>
      <c r="G247" t="s">
        <v>411</v>
      </c>
      <c r="H247" t="s">
        <v>1185</v>
      </c>
      <c r="I247">
        <v>46</v>
      </c>
      <c r="J247" t="s">
        <v>1186</v>
      </c>
      <c r="L247" t="s">
        <v>983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 x14ac:dyDescent="0.25">
      <c r="A248" t="s">
        <v>1187</v>
      </c>
      <c r="B248" t="s">
        <v>1188</v>
      </c>
      <c r="C248" t="s">
        <v>422</v>
      </c>
      <c r="D248" t="s">
        <v>15</v>
      </c>
      <c r="E248" t="s">
        <v>423</v>
      </c>
      <c r="F248" t="s">
        <v>673</v>
      </c>
      <c r="G248" t="s">
        <v>425</v>
      </c>
      <c r="H248" t="s">
        <v>1189</v>
      </c>
      <c r="I248">
        <v>11</v>
      </c>
      <c r="J248" t="s">
        <v>1190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topLeftCell="B1" zoomScaleNormal="115" zoomScaleSheetLayoutView="100" workbookViewId="0">
      <selection activeCell="B14" sqref="B14:D14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2" t="s">
        <v>382</v>
      </c>
      <c r="B1" s="33"/>
      <c r="C1" s="33"/>
      <c r="D1" s="33"/>
      <c r="E1" s="34" t="s">
        <v>802</v>
      </c>
      <c r="F1" s="35"/>
    </row>
    <row r="2" spans="1:13" ht="45" customHeight="1" x14ac:dyDescent="0.25">
      <c r="A2" s="2" t="s">
        <v>383</v>
      </c>
      <c r="B2" s="28" t="s">
        <v>1187</v>
      </c>
      <c r="C2" s="1" t="s">
        <v>384</v>
      </c>
      <c r="D2" s="11" t="s">
        <v>423</v>
      </c>
      <c r="E2" s="7" t="s">
        <v>385</v>
      </c>
      <c r="F2" s="27" t="s">
        <v>1193</v>
      </c>
    </row>
    <row r="3" spans="1:13" ht="45" customHeight="1" x14ac:dyDescent="0.25">
      <c r="A3" s="2" t="s">
        <v>386</v>
      </c>
      <c r="B3" s="26" t="s">
        <v>1189</v>
      </c>
      <c r="C3" s="1" t="s">
        <v>387</v>
      </c>
      <c r="D3" s="11" t="s">
        <v>15</v>
      </c>
      <c r="E3" s="7" t="s">
        <v>388</v>
      </c>
      <c r="F3" s="27" t="s">
        <v>1193</v>
      </c>
    </row>
    <row r="4" spans="1:13" ht="45" customHeight="1" x14ac:dyDescent="0.25">
      <c r="A4" s="2" t="s">
        <v>389</v>
      </c>
      <c r="B4" s="31" t="s">
        <v>422</v>
      </c>
      <c r="C4" s="31"/>
      <c r="D4" s="31"/>
      <c r="E4" s="7" t="s">
        <v>390</v>
      </c>
      <c r="F4" s="27">
        <v>2</v>
      </c>
      <c r="M4" s="6"/>
    </row>
    <row r="5" spans="1:13" ht="35.1" customHeight="1" thickBot="1" x14ac:dyDescent="0.3">
      <c r="A5" s="3" t="s">
        <v>391</v>
      </c>
      <c r="B5" s="36"/>
      <c r="C5" s="37"/>
      <c r="D5" s="12" t="s">
        <v>392</v>
      </c>
      <c r="E5" s="36" t="s">
        <v>425</v>
      </c>
      <c r="F5" s="38"/>
      <c r="M5" s="6"/>
    </row>
    <row r="6" spans="1:13" ht="60" customHeight="1" x14ac:dyDescent="0.3">
      <c r="A6" s="32" t="s">
        <v>382</v>
      </c>
      <c r="B6" s="33"/>
      <c r="C6" s="33"/>
      <c r="D6" s="33"/>
      <c r="E6" s="34" t="str">
        <f>E1</f>
        <v>Không Giam Size</v>
      </c>
      <c r="F6" s="35"/>
    </row>
    <row r="7" spans="1:13" ht="45" customHeight="1" x14ac:dyDescent="0.25">
      <c r="A7" s="2" t="s">
        <v>383</v>
      </c>
      <c r="B7" s="28" t="str">
        <f>B2</f>
        <v>RPRO-250805-0293</v>
      </c>
      <c r="C7" s="1" t="s">
        <v>384</v>
      </c>
      <c r="D7" s="11" t="str">
        <f>D2</f>
        <v>OI-0019A</v>
      </c>
      <c r="E7" s="7" t="s">
        <v>385</v>
      </c>
      <c r="F7" s="27" t="s">
        <v>1194</v>
      </c>
    </row>
    <row r="8" spans="1:13" ht="45" customHeight="1" x14ac:dyDescent="0.25">
      <c r="A8" s="2" t="s">
        <v>386</v>
      </c>
      <c r="B8" s="26" t="str">
        <f>B3</f>
        <v>OI-000105</v>
      </c>
      <c r="C8" s="1" t="s">
        <v>387</v>
      </c>
      <c r="D8" s="11" t="str">
        <f>D3</f>
        <v>Women's</v>
      </c>
      <c r="E8" s="7" t="s">
        <v>388</v>
      </c>
      <c r="F8" s="27" t="s">
        <v>1194</v>
      </c>
    </row>
    <row r="9" spans="1:13" ht="45" customHeight="1" x14ac:dyDescent="0.25">
      <c r="A9" s="2" t="s">
        <v>389</v>
      </c>
      <c r="B9" s="31" t="str">
        <f>B4</f>
        <v>CI BAO CO., LTD / SHYANG SHIN BAO</v>
      </c>
      <c r="C9" s="31"/>
      <c r="D9" s="31"/>
      <c r="E9" s="7" t="s">
        <v>390</v>
      </c>
      <c r="F9" s="27">
        <v>4</v>
      </c>
    </row>
    <row r="10" spans="1:13" ht="35.1" customHeight="1" thickBot="1" x14ac:dyDescent="0.3">
      <c r="A10" s="3" t="s">
        <v>391</v>
      </c>
      <c r="B10" s="37">
        <f>B5</f>
        <v>0</v>
      </c>
      <c r="C10" s="37"/>
      <c r="D10" s="12" t="s">
        <v>392</v>
      </c>
      <c r="E10" s="36" t="str">
        <f>E5</f>
        <v xml:space="preserve">01F7 DYT 13 272 MULTILSPAN - EPM 5 44" 156G </v>
      </c>
      <c r="F10" s="38"/>
    </row>
    <row r="11" spans="1:13" ht="60" customHeight="1" x14ac:dyDescent="0.3">
      <c r="A11" s="32" t="s">
        <v>382</v>
      </c>
      <c r="B11" s="33"/>
      <c r="C11" s="33"/>
      <c r="D11" s="33"/>
      <c r="E11" s="34" t="str">
        <f>E6</f>
        <v>Không Giam Size</v>
      </c>
      <c r="F11" s="35"/>
    </row>
    <row r="12" spans="1:13" ht="45" customHeight="1" x14ac:dyDescent="0.25">
      <c r="A12" s="2" t="s">
        <v>383</v>
      </c>
      <c r="B12" s="28" t="str">
        <f>B7</f>
        <v>RPRO-250805-0293</v>
      </c>
      <c r="C12" s="1" t="s">
        <v>384</v>
      </c>
      <c r="D12" s="11" t="s">
        <v>1114</v>
      </c>
      <c r="E12" s="7" t="s">
        <v>385</v>
      </c>
      <c r="F12" s="27" t="s">
        <v>1195</v>
      </c>
    </row>
    <row r="13" spans="1:13" ht="45" customHeight="1" x14ac:dyDescent="0.25">
      <c r="A13" s="2" t="s">
        <v>393</v>
      </c>
      <c r="B13" s="26" t="str">
        <f>B8</f>
        <v>OI-000105</v>
      </c>
      <c r="C13" s="1" t="s">
        <v>387</v>
      </c>
      <c r="D13" s="11" t="s">
        <v>1114</v>
      </c>
      <c r="E13" s="7" t="s">
        <v>388</v>
      </c>
      <c r="F13" s="27" t="s">
        <v>1195</v>
      </c>
    </row>
    <row r="14" spans="1:13" ht="45" customHeight="1" x14ac:dyDescent="0.25">
      <c r="A14" s="2" t="s">
        <v>389</v>
      </c>
      <c r="B14" s="31" t="str">
        <f>B9</f>
        <v>CI BAO CO., LTD / SHYANG SHIN BAO</v>
      </c>
      <c r="C14" s="31"/>
      <c r="D14" s="31"/>
      <c r="E14" s="7" t="s">
        <v>390</v>
      </c>
      <c r="F14" s="27">
        <v>5</v>
      </c>
    </row>
    <row r="15" spans="1:13" ht="35.1" customHeight="1" thickBot="1" x14ac:dyDescent="0.3">
      <c r="A15" s="3" t="s">
        <v>391</v>
      </c>
      <c r="B15" s="37">
        <f>B10</f>
        <v>0</v>
      </c>
      <c r="C15" s="37"/>
      <c r="D15" s="12" t="s">
        <v>392</v>
      </c>
      <c r="E15" s="36" t="str">
        <f>E10</f>
        <v xml:space="preserve">01F7 DYT 13 272 MULTILSPAN - EPM 5 44" 156G </v>
      </c>
      <c r="F15" s="38"/>
    </row>
    <row r="16" spans="1:13" ht="60" customHeight="1" x14ac:dyDescent="0.3">
      <c r="A16" s="32" t="s">
        <v>382</v>
      </c>
      <c r="B16" s="33"/>
      <c r="C16" s="33"/>
      <c r="D16" s="33"/>
      <c r="E16" s="34" t="str">
        <f>E11</f>
        <v>Không Giam Size</v>
      </c>
      <c r="F16" s="35"/>
    </row>
    <row r="17" spans="1:6" ht="45" customHeight="1" x14ac:dyDescent="0.25">
      <c r="A17" s="2" t="s">
        <v>383</v>
      </c>
      <c r="B17" s="28" t="str">
        <f>B12</f>
        <v>RPRO-250805-0293</v>
      </c>
      <c r="C17" s="1" t="s">
        <v>384</v>
      </c>
      <c r="D17" s="11" t="str">
        <f>D12</f>
        <v>RPRO-250811-0132</v>
      </c>
      <c r="E17" s="7" t="s">
        <v>385</v>
      </c>
      <c r="F17" s="27"/>
    </row>
    <row r="18" spans="1:6" ht="45" customHeight="1" x14ac:dyDescent="0.25">
      <c r="A18" s="2" t="s">
        <v>393</v>
      </c>
      <c r="B18" s="26" t="str">
        <f>B13</f>
        <v>OI-000105</v>
      </c>
      <c r="C18" s="1" t="s">
        <v>387</v>
      </c>
      <c r="D18" s="11" t="str">
        <f>D13</f>
        <v>RPRO-250811-0132</v>
      </c>
      <c r="E18" s="7" t="s">
        <v>388</v>
      </c>
      <c r="F18" s="27"/>
    </row>
    <row r="19" spans="1:6" ht="45" customHeight="1" x14ac:dyDescent="0.25">
      <c r="A19" s="2" t="s">
        <v>389</v>
      </c>
      <c r="B19" s="31" t="str">
        <f>B14</f>
        <v>CI BAO CO., LTD / SHYANG SHIN BAO</v>
      </c>
      <c r="C19" s="31"/>
      <c r="D19" s="31"/>
      <c r="E19" s="7" t="s">
        <v>390</v>
      </c>
      <c r="F19" s="27"/>
    </row>
    <row r="20" spans="1:6" ht="50.1" customHeight="1" thickBot="1" x14ac:dyDescent="0.3">
      <c r="A20" s="3" t="s">
        <v>391</v>
      </c>
      <c r="B20" s="37">
        <f>B15</f>
        <v>0</v>
      </c>
      <c r="C20" s="37"/>
      <c r="D20" s="12" t="s">
        <v>392</v>
      </c>
      <c r="E20" s="36" t="str">
        <f>E15</f>
        <v xml:space="preserve">01F7 DYT 13 272 MULTILSPAN - EPM 5 44" 156G </v>
      </c>
      <c r="F20" s="38"/>
    </row>
    <row r="21" spans="1:6" ht="50.1" customHeight="1" x14ac:dyDescent="0.3">
      <c r="A21" s="32" t="s">
        <v>926</v>
      </c>
      <c r="B21" s="33"/>
      <c r="C21" s="33"/>
      <c r="D21" s="33"/>
      <c r="E21" s="34" t="str">
        <f>E16</f>
        <v>Không Giam Size</v>
      </c>
      <c r="F21" s="35"/>
    </row>
    <row r="22" spans="1:6" ht="35.1" customHeight="1" x14ac:dyDescent="0.25">
      <c r="A22" s="2" t="s">
        <v>383</v>
      </c>
      <c r="B22" s="8" t="s">
        <v>924</v>
      </c>
      <c r="C22" s="1" t="s">
        <v>384</v>
      </c>
      <c r="D22" s="5" t="s">
        <v>77</v>
      </c>
      <c r="E22" s="1" t="s">
        <v>385</v>
      </c>
      <c r="F22" s="9"/>
    </row>
    <row r="23" spans="1:6" ht="35.1" customHeight="1" x14ac:dyDescent="0.25">
      <c r="A23" s="2" t="s">
        <v>393</v>
      </c>
      <c r="B23" s="7" t="s">
        <v>923</v>
      </c>
      <c r="C23" s="1" t="s">
        <v>387</v>
      </c>
      <c r="D23" s="11" t="str">
        <f>D18</f>
        <v>RPRO-250811-0132</v>
      </c>
      <c r="E23" s="1" t="s">
        <v>388</v>
      </c>
      <c r="F23" s="9"/>
    </row>
    <row r="24" spans="1:6" ht="35.1" customHeight="1" x14ac:dyDescent="0.25">
      <c r="A24" s="2" t="s">
        <v>389</v>
      </c>
      <c r="B24" s="31" t="str">
        <f>B19</f>
        <v>CI BAO CO., LTD / SHYANG SHIN BAO</v>
      </c>
      <c r="C24" s="31"/>
      <c r="D24" s="31"/>
      <c r="E24" s="1" t="s">
        <v>390</v>
      </c>
      <c r="F24" s="30" t="s">
        <v>927</v>
      </c>
    </row>
    <row r="25" spans="1:6" ht="50.1" customHeight="1" thickBot="1" x14ac:dyDescent="0.3">
      <c r="A25" s="3" t="s">
        <v>391</v>
      </c>
      <c r="B25" s="37">
        <f>B20</f>
        <v>0</v>
      </c>
      <c r="C25" s="37"/>
      <c r="D25" s="12" t="s">
        <v>392</v>
      </c>
      <c r="E25" s="36" t="s">
        <v>925</v>
      </c>
      <c r="F25" s="38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zoomScale="85" zoomScaleNormal="100" zoomScaleSheetLayoutView="85" workbookViewId="0">
      <selection activeCell="B3" sqref="B3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9" t="s">
        <v>394</v>
      </c>
      <c r="B1" s="39"/>
      <c r="C1" s="39"/>
      <c r="D1" s="39"/>
    </row>
    <row r="2" spans="1:4" ht="37.5" customHeight="1" x14ac:dyDescent="0.4">
      <c r="A2" s="17" t="s">
        <v>395</v>
      </c>
      <c r="B2" s="24" t="s">
        <v>1187</v>
      </c>
      <c r="C2" s="17" t="s">
        <v>386</v>
      </c>
      <c r="D2" s="14" t="s">
        <v>1189</v>
      </c>
    </row>
    <row r="3" spans="1:4" ht="24" customHeight="1" x14ac:dyDescent="0.25">
      <c r="A3" s="17" t="s">
        <v>396</v>
      </c>
      <c r="B3" s="14" t="s">
        <v>1188</v>
      </c>
      <c r="C3" s="17" t="s">
        <v>397</v>
      </c>
      <c r="D3" s="14" t="s">
        <v>423</v>
      </c>
    </row>
    <row r="4" spans="1:4" ht="72.75" customHeight="1" x14ac:dyDescent="0.25">
      <c r="A4" s="18" t="s">
        <v>398</v>
      </c>
      <c r="B4" s="19" t="s">
        <v>422</v>
      </c>
      <c r="C4" s="18" t="s">
        <v>399</v>
      </c>
      <c r="D4" s="19" t="s">
        <v>425</v>
      </c>
    </row>
    <row r="5" spans="1:4" ht="24" customHeight="1" x14ac:dyDescent="0.25">
      <c r="A5" s="17" t="s">
        <v>400</v>
      </c>
      <c r="B5" s="23"/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11</v>
      </c>
    </row>
    <row r="7" spans="1:4" ht="24.95" customHeight="1" x14ac:dyDescent="0.25">
      <c r="A7" s="16" t="s">
        <v>1191</v>
      </c>
      <c r="B7" s="16" t="s">
        <v>1191</v>
      </c>
      <c r="C7" s="22">
        <v>2</v>
      </c>
      <c r="D7" s="16"/>
    </row>
    <row r="8" spans="1:4" ht="24.95" customHeight="1" x14ac:dyDescent="0.25">
      <c r="A8" s="16" t="s">
        <v>1192</v>
      </c>
      <c r="B8" s="16" t="s">
        <v>1192</v>
      </c>
      <c r="C8" s="22">
        <v>4</v>
      </c>
      <c r="D8" s="16"/>
    </row>
    <row r="9" spans="1:4" ht="24.95" customHeight="1" x14ac:dyDescent="0.25">
      <c r="A9" s="16" t="s">
        <v>1160</v>
      </c>
      <c r="B9" s="16" t="s">
        <v>1160</v>
      </c>
      <c r="C9" s="22">
        <v>5</v>
      </c>
      <c r="D9" s="16"/>
    </row>
    <row r="10" spans="1:4" ht="24.95" customHeight="1" x14ac:dyDescent="0.25">
      <c r="A10" s="16"/>
      <c r="B10" s="16"/>
      <c r="C10" s="22"/>
      <c r="D10" s="16"/>
    </row>
    <row r="11" spans="1:4" ht="24.95" customHeight="1" x14ac:dyDescent="0.25">
      <c r="A11" s="16"/>
      <c r="B11" s="16"/>
      <c r="C11" s="22"/>
      <c r="D11" s="16"/>
    </row>
    <row r="12" spans="1:4" ht="24.95" customHeight="1" x14ac:dyDescent="0.25">
      <c r="A12" s="16"/>
      <c r="B12" s="16"/>
      <c r="C12" s="22"/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63da96a68aea1e0a95bb00dc613529db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bc38e99d4a2ab748d495d1563ca7dbf9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2492B47-8714-4D09-8907-FE4A7F26E63B}">
  <ds:schemaRefs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71b44b8b-5734-40bc-bcd6-983774da7c1c"/>
    <ds:schemaRef ds:uri="http://purl.org/dc/dcmitype/"/>
    <ds:schemaRef ds:uri="http://schemas.microsoft.com/office/2006/documentManagement/types"/>
    <ds:schemaRef ds:uri="b65cb79d-c821-4d3d-aab2-5ef15e9cc85e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53AF88F-AA98-47B8-B815-579A1FC795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SYN</vt:lpstr>
      <vt:lpstr>TEMPLATE</vt:lpstr>
      <vt:lpstr>PhieuDD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2025-08-25T12:59:26Z</cp:lastPrinted>
  <dcterms:created xsi:type="dcterms:W3CDTF">2025-07-23T17:12:12Z</dcterms:created>
  <dcterms:modified xsi:type="dcterms:W3CDTF">2025-08-25T13:01:42Z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