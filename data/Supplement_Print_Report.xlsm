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rtholitevietnam.sharepoint.com/sites/production9/Shared Documents/PRODUCTION/TRUONG OFFICE/WEEKLY REPORT/WE ARE BETTER/vercel-dashboard/data/"/>
    </mc:Choice>
  </mc:AlternateContent>
  <xr:revisionPtr revIDLastSave="20401" documentId="8_{BC9E03AF-875C-4F7B-B632-8C15CEE753D9}" xr6:coauthVersionLast="47" xr6:coauthVersionMax="47" xr10:uidLastSave="{3B420D9C-4397-4DE3-A796-062BCB26C39F}"/>
  <bookViews>
    <workbookView xWindow="-120" yWindow="-120" windowWidth="20730" windowHeight="11040" activeTab="1" xr2:uid="{A64F85B7-8F3A-45F6-82B5-34D9B669F3F6}"/>
  </bookViews>
  <sheets>
    <sheet name="SYN" sheetId="1" r:id="rId1"/>
    <sheet name="TEMPLATE" sheetId="3" r:id="rId2"/>
    <sheet name="PhieuDD" sheetId="4" r:id="rId3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3" l="1"/>
  <c r="E15" i="3" s="1"/>
  <c r="E20" i="3" s="1"/>
  <c r="E25" i="3" s="1"/>
  <c r="B10" i="3"/>
  <c r="B15" i="3" s="1"/>
  <c r="B20" i="3" s="1"/>
  <c r="B25" i="3" s="1"/>
  <c r="B8" i="3"/>
  <c r="B13" i="3" s="1"/>
  <c r="B18" i="3" s="1"/>
  <c r="B23" i="3" s="1"/>
  <c r="E6" i="3"/>
  <c r="E11" i="3" s="1"/>
  <c r="E16" i="3" s="1"/>
  <c r="E21" i="3" s="1"/>
  <c r="B9" i="3"/>
  <c r="B14" i="3" s="1"/>
  <c r="B19" i="3" s="1"/>
  <c r="B24" i="3" s="1"/>
  <c r="D8" i="3"/>
  <c r="D13" i="3" s="1"/>
  <c r="D18" i="3" s="1"/>
  <c r="D23" i="3" s="1"/>
  <c r="D7" i="3"/>
  <c r="D12" i="3" s="1"/>
  <c r="D17" i="3" s="1"/>
  <c r="D22" i="3" s="1"/>
  <c r="B7" i="3"/>
  <c r="B12" i="3" s="1"/>
  <c r="B17" i="3" s="1"/>
  <c r="B22" i="3" s="1"/>
</calcChain>
</file>

<file path=xl/sharedStrings.xml><?xml version="1.0" encoding="utf-8"?>
<sst xmlns="http://schemas.openxmlformats.org/spreadsheetml/2006/main" count="484" uniqueCount="279">
  <si>
    <t>rpro</t>
  </si>
  <si>
    <t>so</t>
  </si>
  <si>
    <t>customers</t>
  </si>
  <si>
    <t>gender</t>
  </si>
  <si>
    <t>mold</t>
  </si>
  <si>
    <t>tool</t>
  </si>
  <si>
    <t>fabric</t>
  </si>
  <si>
    <t>bom</t>
  </si>
  <si>
    <t>total</t>
  </si>
  <si>
    <t>created_at</t>
  </si>
  <si>
    <t>remark</t>
  </si>
  <si>
    <t>remark2</t>
  </si>
  <si>
    <t>134.9mm*355mm</t>
  </si>
  <si>
    <t>RPRO-250623-0934</t>
  </si>
  <si>
    <t>SO-250210-0622</t>
  </si>
  <si>
    <t>GLOBAL RUNNING CO., LTD / CHAMPION GLORY TRADING LIMITED</t>
  </si>
  <si>
    <t>Women's</t>
  </si>
  <si>
    <t>OV-0278</t>
  </si>
  <si>
    <t>11-007-W-MID (M-0148)</t>
  </si>
  <si>
    <t>14-4206TCX YH-S960 EPM5 (100% Recycled PET) 44'' 198G</t>
  </si>
  <si>
    <t>OV-007425</t>
  </si>
  <si>
    <t>Size fixed</t>
  </si>
  <si>
    <t>testtttt</t>
  </si>
  <si>
    <t>RPRO-250704-0045</t>
  </si>
  <si>
    <t>SO-250703-0017</t>
  </si>
  <si>
    <t>POU YUEN VIETNAM ENTERPRISE LTD</t>
  </si>
  <si>
    <t>OE-1128(TA-1ot)</t>
  </si>
  <si>
    <t>TAK-1-2 (M-0132)</t>
  </si>
  <si>
    <t>BLACK HF-SL02330-DRP (100% Recycled Polyester) 44'' 263G</t>
  </si>
  <si>
    <t>OE-007334</t>
  </si>
  <si>
    <t>fgvdssadfg</t>
  </si>
  <si>
    <t>RPRO-250611-0062</t>
  </si>
  <si>
    <t>SO-250610-0070</t>
  </si>
  <si>
    <t>DONA VICTOR FOOTWEAR CO., LTD</t>
  </si>
  <si>
    <t>OE-0373</t>
  </si>
  <si>
    <t>QD-10 (M-0245)</t>
  </si>
  <si>
    <t>10A (PP)LINING KNIT BRUSHED RIO REC 44" 230G</t>
  </si>
  <si>
    <t>OE-004172</t>
  </si>
  <si>
    <t>13-08-2025 13:05:06</t>
  </si>
  <si>
    <t>RPRO-250616-0173</t>
  </si>
  <si>
    <t>SO-250613-0069</t>
  </si>
  <si>
    <t>LONG FA (VIETNAM ) CO., LTD / AIKNIT</t>
  </si>
  <si>
    <t>OV-0229</t>
  </si>
  <si>
    <t>TR-5 (M-0003)</t>
  </si>
  <si>
    <t>BLACK C LJ-B0001-BLK-EPM5 44" 210G</t>
  </si>
  <si>
    <t>OV-007102</t>
  </si>
  <si>
    <t>13-08-2025 18:44:04</t>
  </si>
  <si>
    <t>RPRO-250708-0575</t>
  </si>
  <si>
    <t>SO-250707-0434</t>
  </si>
  <si>
    <t>BEESCO VINA CO., LTD</t>
  </si>
  <si>
    <t>Men's</t>
  </si>
  <si>
    <t>TAK-1_2 (M-0132)</t>
  </si>
  <si>
    <t>BLACK HF-SL02080-DRP (100% Recycled Polyester) 44" 205G</t>
  </si>
  <si>
    <t>OE-007397</t>
  </si>
  <si>
    <t>13-08-2025 19:06:35</t>
  </si>
  <si>
    <t>RPRO-250708-0633</t>
  </si>
  <si>
    <t>SO-250707-0501</t>
  </si>
  <si>
    <t>PT. LONG RICH INDONESIA</t>
  </si>
  <si>
    <t>19-3920TCX LJ-B0001-DDY-EPM5 44" 225G</t>
  </si>
  <si>
    <t>OV-009385</t>
  </si>
  <si>
    <t>13-08-2025 19:12:06</t>
  </si>
  <si>
    <t>RPRO-250708-0400</t>
  </si>
  <si>
    <t>SO-250707-0139</t>
  </si>
  <si>
    <t>SHYANG YING CO., LTD / SHYANG SHIN BAO</t>
  </si>
  <si>
    <t>OV-0291(MN-4ot-SP)</t>
  </si>
  <si>
    <t>EOR-61 (M-0220)</t>
  </si>
  <si>
    <t>OV-008467</t>
  </si>
  <si>
    <t>13-08-2025 19:12:37</t>
  </si>
  <si>
    <t>RPRO-250710-0718</t>
  </si>
  <si>
    <t>SO-250709-0355</t>
  </si>
  <si>
    <t>OE-007398</t>
  </si>
  <si>
    <t>13-08-2025 19:13:41</t>
  </si>
  <si>
    <t>RPRO-250708-0631</t>
  </si>
  <si>
    <t>SO-250707-0498</t>
  </si>
  <si>
    <t>19-3917TCX LJ-B0001-DDY-EPM5 44" 225G</t>
  </si>
  <si>
    <t>OV-009382</t>
  </si>
  <si>
    <t>13-08-2025 19:16:57</t>
  </si>
  <si>
    <t>RPRO-250623-0144</t>
  </si>
  <si>
    <t>SO-250620-0122</t>
  </si>
  <si>
    <t>LONG RICH (VIETNAM) CO., LTD / AIKNIT</t>
  </si>
  <si>
    <t>OE-1429</t>
  </si>
  <si>
    <t>BP-113 (M-0402)</t>
  </si>
  <si>
    <t>OE-006036</t>
  </si>
  <si>
    <t>13-08-2025 19:20:05</t>
  </si>
  <si>
    <t>RPRO-250708-0649</t>
  </si>
  <si>
    <t>SO-250707-0513</t>
  </si>
  <si>
    <t>OV-008549</t>
  </si>
  <si>
    <t>13-08-2025 19:22:04</t>
  </si>
  <si>
    <t>RPRO-250616-0201</t>
  </si>
  <si>
    <t>SO-250613-0097</t>
  </si>
  <si>
    <t>13-08-2025 19:37:58</t>
  </si>
  <si>
    <t>RPRO-250711-0110</t>
  </si>
  <si>
    <t>SO-250710-0027</t>
  </si>
  <si>
    <t>PRO WELL (VIETNAM) CO., LTD / EXCELLENT SUMMIT INTERNATIONAL</t>
  </si>
  <si>
    <t>OV-0339</t>
  </si>
  <si>
    <t>21-008-W-Low (M-0356)</t>
  </si>
  <si>
    <t>19-3911TCX YH-S817A EPM5 W/Anti fraying (100% Recycled PET W/Anti fraying) 44" 220G</t>
  </si>
  <si>
    <t>OV-005981</t>
  </si>
  <si>
    <t>13-08-2025 21:52:22</t>
  </si>
  <si>
    <t>PHIẾU CHUYỂN GIAO ĐƠN BÙ
(Nomal Supplement Orders- Hàng Bù Sản Xuất)</t>
  </si>
  <si>
    <t>Po.No</t>
  </si>
  <si>
    <t>Mold#</t>
  </si>
  <si>
    <t>Size Gốc</t>
  </si>
  <si>
    <t>BOM</t>
  </si>
  <si>
    <t>Gender</t>
  </si>
  <si>
    <t>Size đã Giảm</t>
  </si>
  <si>
    <t>Customer</t>
  </si>
  <si>
    <t>Số lượng</t>
  </si>
  <si>
    <t>GHI CHÚ</t>
  </si>
  <si>
    <t>TÊN VẢI</t>
  </si>
  <si>
    <t>So</t>
  </si>
  <si>
    <t>PHIẾU ĐIỀU ĐỘNG HÀNG BÙ</t>
  </si>
  <si>
    <t>PRO.ORDER</t>
  </si>
  <si>
    <t>SO.NO</t>
  </si>
  <si>
    <t>#MOLD</t>
  </si>
  <si>
    <t>CUSTOMER NAME</t>
  </si>
  <si>
    <t>FABRIC</t>
  </si>
  <si>
    <t>Ghi Chú:</t>
  </si>
  <si>
    <t>Size Run</t>
  </si>
  <si>
    <t>Size run Đã giảm</t>
  </si>
  <si>
    <t>Số lượng/Total</t>
  </si>
  <si>
    <t>RPRO-250709-0202</t>
  </si>
  <si>
    <t>SO-250708-0115</t>
  </si>
  <si>
    <t>BRIGHT FLUSHING CO., LTD / EVER DECADE</t>
  </si>
  <si>
    <t>OV-0292</t>
  </si>
  <si>
    <t>P200 (M-0214)</t>
  </si>
  <si>
    <t>017-56-06 YK22-1126 SHINY MULTI SPAN P EPM5 44" 164G</t>
  </si>
  <si>
    <t>OV-009549</t>
  </si>
  <si>
    <t>14-08-2025 06:53:45</t>
  </si>
  <si>
    <t>RPRO-250705-0300</t>
  </si>
  <si>
    <t>SO-250704-0432</t>
  </si>
  <si>
    <t>005-18-00 (Puma Black) PH WS320000 SINGLE LAYER MESH (100% RECYCLED PET) 44" 179G</t>
  </si>
  <si>
    <t>OV-009403</t>
  </si>
  <si>
    <t>14-08-2025 15:58:12</t>
  </si>
  <si>
    <t>đƠN XUẤT THIẾU</t>
  </si>
  <si>
    <t>RPRO-250617-0043</t>
  </si>
  <si>
    <t>SO-250616-0302</t>
  </si>
  <si>
    <t>OE-007478</t>
  </si>
  <si>
    <t>14-08-2025 18:35:37</t>
  </si>
  <si>
    <t>RPRO-250729-0567</t>
  </si>
  <si>
    <t>SO-250728-0930</t>
  </si>
  <si>
    <t>DAI HOA CO., LTD</t>
  </si>
  <si>
    <t>BLACK CY101 DRP 44" 220G</t>
  </si>
  <si>
    <t>OE-006368</t>
  </si>
  <si>
    <t>14-08-2025 18:37:09</t>
  </si>
  <si>
    <t>RPRO-250728-0079</t>
  </si>
  <si>
    <t>SO-250725-0013</t>
  </si>
  <si>
    <t>OE-0656</t>
  </si>
  <si>
    <t>BP-104-3 (M-0131)</t>
  </si>
  <si>
    <t>OE-006296</t>
  </si>
  <si>
    <t>14-08-2025 18:48:58</t>
  </si>
  <si>
    <t>RPRO-250710-0461</t>
  </si>
  <si>
    <t>SO-250707-0500</t>
  </si>
  <si>
    <t>OV-008562</t>
  </si>
  <si>
    <t>14-08-2025 22:12:41</t>
  </si>
  <si>
    <t>RPRO-250616-0191</t>
  </si>
  <si>
    <t>SO-250613-0087</t>
  </si>
  <si>
    <t>OV-007100</t>
  </si>
  <si>
    <t>14-08-2025 22:14:10</t>
  </si>
  <si>
    <t>RPRO-250708-0653</t>
  </si>
  <si>
    <t>SO-250707-0515</t>
  </si>
  <si>
    <t>OV-009383</t>
  </si>
  <si>
    <t>14-08-2025 22:15:35</t>
  </si>
  <si>
    <t>RPRO-250623-0637</t>
  </si>
  <si>
    <t>SO-250621-0155</t>
  </si>
  <si>
    <t>OE-007575</t>
  </si>
  <si>
    <t>14-08-2025 22:17:34</t>
  </si>
  <si>
    <t>RPRO-250623-0613</t>
  </si>
  <si>
    <t>SO-250621-0147</t>
  </si>
  <si>
    <t>OE-007574</t>
  </si>
  <si>
    <t>14-08-2025 22:49:16</t>
  </si>
  <si>
    <t>14/8</t>
  </si>
  <si>
    <t>RPRO-250623-0388</t>
  </si>
  <si>
    <t>SO-250620-0409</t>
  </si>
  <si>
    <t>OV-0397</t>
  </si>
  <si>
    <t>BP-113-4E (M-0473)</t>
  </si>
  <si>
    <t>OV-009159</t>
  </si>
  <si>
    <t>14-08-2025 23:09:04</t>
  </si>
  <si>
    <t>RPRO-250708-0322</t>
  </si>
  <si>
    <t>SO-250707-0086</t>
  </si>
  <si>
    <t>OE-007291</t>
  </si>
  <si>
    <t>15-08-2025 01:18:35</t>
  </si>
  <si>
    <t>RPRO-250627-0288</t>
  </si>
  <si>
    <t>SO-250626-0389</t>
  </si>
  <si>
    <t>OE-007329</t>
  </si>
  <si>
    <t>15-08-2025 02:11:13</t>
  </si>
  <si>
    <t>RPRO-250616-0157</t>
  </si>
  <si>
    <t>SO-250613-0053</t>
  </si>
  <si>
    <t>OV-007095</t>
  </si>
  <si>
    <t>15-08-2025 02:56:17</t>
  </si>
  <si>
    <t>RPRO-250723-0816</t>
  </si>
  <si>
    <t>SO-250709-0358</t>
  </si>
  <si>
    <t>OE-007778</t>
  </si>
  <si>
    <t>15-08-2025 02:59:29</t>
  </si>
  <si>
    <t>#10</t>
  </si>
  <si>
    <t>RPRO-250712-0161</t>
  </si>
  <si>
    <t>SO-250711-0132</t>
  </si>
  <si>
    <t>Unisex</t>
  </si>
  <si>
    <t>OV-0312</t>
  </si>
  <si>
    <t>JV1-0695-3D(M-0261)</t>
  </si>
  <si>
    <t>145-17-00 LJ-B0771-NB-EPM5 44" 220G</t>
  </si>
  <si>
    <t>OV-003859</t>
  </si>
  <si>
    <t>15-08-2025 03:07:08</t>
  </si>
  <si>
    <t>#9.5</t>
  </si>
  <si>
    <t>RPRO-250709-0161</t>
  </si>
  <si>
    <t>SO-250708-0447</t>
  </si>
  <si>
    <t>FREEWELL VIETNAM CO., LTD / AIKNIT</t>
  </si>
  <si>
    <t>BLACK CYL34289-DRP 44" 180G</t>
  </si>
  <si>
    <t>OE-006441</t>
  </si>
  <si>
    <t>15-08-2025 03:09:25</t>
  </si>
  <si>
    <t>0163 + 0388</t>
  </si>
  <si>
    <t>RPRO-250709-0339</t>
  </si>
  <si>
    <t>SO-250708-0630</t>
  </si>
  <si>
    <t>OE-007567</t>
  </si>
  <si>
    <t>15-08-2025 03:28:04</t>
  </si>
  <si>
    <t>0787+0789</t>
  </si>
  <si>
    <t>RPRO-250712-0260</t>
  </si>
  <si>
    <t>SO-250711-0382</t>
  </si>
  <si>
    <t>PT. POU CHEN INDONESIA</t>
  </si>
  <si>
    <t>OE-007815</t>
  </si>
  <si>
    <t>15-08-2025 03:31:12</t>
  </si>
  <si>
    <t>RPRO-250701-0757</t>
  </si>
  <si>
    <t>SO-250630-1438</t>
  </si>
  <si>
    <t>WHITE HF-SL02080-DRP (100% Recycled Polyester) 44" 205G</t>
  </si>
  <si>
    <t>OV-008468</t>
  </si>
  <si>
    <t>15-08-2025 03:33:27</t>
  </si>
  <si>
    <t>RPRO-250709-0903</t>
  </si>
  <si>
    <t>SO-250704-0294</t>
  </si>
  <si>
    <t>VMC ROYAL CO., LTD / SUPER TRADE OVERSEAS</t>
  </si>
  <si>
    <t>OV-0389</t>
  </si>
  <si>
    <t>HE-156 (M-0431)</t>
  </si>
  <si>
    <t>040-66-04 HILINER DE-7 0.7MM 54'' 235G</t>
  </si>
  <si>
    <t>OV-009464</t>
  </si>
  <si>
    <t>15-08-2025 03:36:53</t>
  </si>
  <si>
    <t>RPRO-250704-0307</t>
  </si>
  <si>
    <t>SO-250703-0194</t>
  </si>
  <si>
    <t>15-08-2025 03:40:21</t>
  </si>
  <si>
    <t>RPRO-250728-0081</t>
  </si>
  <si>
    <t>SO-250725-0015</t>
  </si>
  <si>
    <t>OE-006295</t>
  </si>
  <si>
    <t>15-08-2025 04:35:57</t>
  </si>
  <si>
    <t>RPRO-250623-0526</t>
  </si>
  <si>
    <t>SO-250621-0118</t>
  </si>
  <si>
    <t>OV-008871</t>
  </si>
  <si>
    <t>15-08-2025 04:38:51</t>
  </si>
  <si>
    <t>#10.5</t>
  </si>
  <si>
    <t>#11</t>
  </si>
  <si>
    <t>RPRO-250724-0148</t>
  </si>
  <si>
    <t>SO-250723-0153</t>
  </si>
  <si>
    <t>PT. TKG TAE KWANG INDONESIA</t>
  </si>
  <si>
    <t>OI-0023</t>
  </si>
  <si>
    <t>QD-10 (M-0454)</t>
  </si>
  <si>
    <t>00A (PP)LINING,KNIT,MATTE,FLAT (FRESNO),REC-RYP 44" 210G</t>
  </si>
  <si>
    <t>OI-000076</t>
  </si>
  <si>
    <t>15-08-2025 05:26:18</t>
  </si>
  <si>
    <t>RPRO-250619-0517</t>
  </si>
  <si>
    <t>SO-250618-0428</t>
  </si>
  <si>
    <t>OV-0333</t>
  </si>
  <si>
    <t>23-005-M-Low (M-0308)</t>
  </si>
  <si>
    <t>19-3911TPG YH-S817A EPM5 (100% REC.PES) 44" 220G</t>
  </si>
  <si>
    <t>OV-008845</t>
  </si>
  <si>
    <t>15-08-2025 05:26:50</t>
  </si>
  <si>
    <t>#8.5</t>
  </si>
  <si>
    <t>10.5#</t>
  </si>
  <si>
    <t>11#</t>
  </si>
  <si>
    <t>12#</t>
  </si>
  <si>
    <t>12.5#</t>
  </si>
  <si>
    <t>#5</t>
  </si>
  <si>
    <t>#3.5</t>
  </si>
  <si>
    <t>#5.5</t>
  </si>
  <si>
    <t>#4</t>
  </si>
  <si>
    <t>#6</t>
  </si>
  <si>
    <t>#4.5</t>
  </si>
  <si>
    <t>#8</t>
  </si>
  <si>
    <t>#6.5</t>
  </si>
  <si>
    <t>#7</t>
  </si>
  <si>
    <t>#9</t>
  </si>
  <si>
    <t>#7.5</t>
  </si>
  <si>
    <t>Giam Size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</si>
</sst>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</numFmts>
  <fonts count="1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masis MT Pro Medium"/>
      <family val="1"/>
    </font>
    <font>
      <b/>
      <sz val="18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u/>
      <sz val="22"/>
      <color theme="1"/>
      <name val="Times New Roman"/>
      <family val="1"/>
    </font>
    <font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b/>
      <i/>
      <sz val="18"/>
      <color theme="1"/>
      <name val="Aptos Narrow"/>
      <family val="2"/>
      <scheme val="minor"/>
    </font>
    <font>
      <b/>
      <i/>
      <u/>
      <sz val="12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33">
    <xf numFmtId="0" fontId="0" fillId="0" borderId="0" xfId="0"/>
    <xf numFmtId="0" fontId="1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4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6" fillId="0" borderId="3" xfId="0" applyFont="1" applyBorder="1" applyAlignment="1">
      <alignment horizontal="center" vertical="center"/>
    </xf>
    <xf numFmtId="22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left" vertical="center"/>
    </xf>
    <xf numFmtId="0" fontId="7" fillId="0" borderId="0" xfId="0" applyFont="1"/>
    <xf numFmtId="0" fontId="2" fillId="0" borderId="1" xfId="0" applyFont="1" applyBorder="1"/>
    <xf numFmtId="164" fontId="10" fillId="0" borderId="0" xfId="1" applyNumberFormat="1" applyFont="1" applyAlignment="1">
      <alignment horizontal="center" vertical="center"/>
    </xf>
    <xf numFmtId="164" fontId="11" fillId="0" borderId="1" xfId="1" applyNumberFormat="1" applyFont="1" applyBorder="1" applyAlignment="1">
      <alignment horizontal="center" vertical="center"/>
    </xf>
    <xf numFmtId="0" fontId="12" fillId="0" borderId="1" xfId="0" applyFont="1" applyBorder="1"/>
    <xf numFmtId="0" fontId="1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13" fillId="0" borderId="1" xfId="0" applyFont="1" applyBorder="1"/>
    <xf numFmtId="0" fontId="14" fillId="0" borderId="1" xfId="0" applyFont="1" applyBorder="1" applyAlignment="1">
      <alignment horizontal="center" vertical="center"/>
    </xf>
    <xf numFmtId="165" fontId="11" fillId="0" borderId="1" xfId="1" applyNumberFormat="1" applyFont="1" applyBorder="1" applyAlignment="1">
      <alignment horizontal="center" vertical="center"/>
    </xf>
    <xf numFmtId="0" fontId="13" fillId="0" borderId="1" xfId="0" applyFont="1" applyBorder="1" applyAlignment="1">
      <alignment wrapText="1"/>
    </xf>
    <xf numFmtId="0" fontId="1" fillId="0" borderId="1" xfId="0" applyFont="1" applyBorder="1" applyAlignment="1">
      <alignment horizontal="left" vertical="center"/>
    </xf>
    <xf numFmtId="0" fontId="5" fillId="0" borderId="5" xfId="0" applyFont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5" fillId="0" borderId="6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1" defaultTableStyle="TableStyleMedium2" defaultPivotStyle="PivotStyleLight16">
    <tableStyle name="Invisible" pivot="0" table="0" count="0" xr9:uid="{1796F8E7-A613-4B6E-9B8D-586C4EEE7EA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0</xdr:row>
          <xdr:rowOff>0</xdr:rowOff>
        </xdr:from>
        <xdr:to>
          <xdr:col>1</xdr:col>
          <xdr:colOff>1790700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571500</xdr:colOff>
      <xdr:row>0</xdr:row>
      <xdr:rowOff>190500</xdr:rowOff>
    </xdr:from>
    <xdr:to>
      <xdr:col>5</xdr:col>
      <xdr:colOff>981075</xdr:colOff>
      <xdr:row>1</xdr:row>
      <xdr:rowOff>47682</xdr:rowOff>
    </xdr:to>
    <xdr:pic macro="[0]!Appearent">
      <xdr:nvPicPr>
        <xdr:cNvPr id="2" name="Picture 3" descr="Not Ok Max The Husky">
          <a:extLst>
            <a:ext uri="{FF2B5EF4-FFF2-40B4-BE49-F238E27FC236}">
              <a16:creationId xmlns:a16="http://schemas.microsoft.com/office/drawing/2014/main" id="{C29F7962-7CB2-270E-6D97-A788F004C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39125" y="190500"/>
          <a:ext cx="409575" cy="48583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CBA0F-3DDE-4047-AD0C-CA395D365777}">
  <sheetPr codeName="Sheet1"/>
  <dimension ref="A1:CE40"/>
  <sheetViews>
    <sheetView zoomScale="115" zoomScaleNormal="115" workbookViewId="0">
      <pane xSplit="1" ySplit="1" topLeftCell="S2" activePane="bottomRight" state="frozen"/>
      <selection pane="topRight" activeCell="B1" sqref="B1"/>
      <selection pane="bottomLeft" activeCell="A2" sqref="A2"/>
      <selection pane="bottomRight" activeCell="AK9" sqref="AK9"/>
    </sheetView>
  </sheetViews>
  <sheetFormatPr defaultRowHeight="15" x14ac:dyDescent="0.25"/>
  <cols>
    <col min="1" max="3" width="28" customWidth="1"/>
    <col min="4" max="4" width="16.85546875" customWidth="1"/>
    <col min="5" max="5" width="46.42578125" customWidth="1"/>
    <col min="6" max="6" width="23.140625" customWidth="1"/>
    <col min="7" max="7" width="18.140625" customWidth="1"/>
    <col min="8" max="8" width="18.5703125" customWidth="1"/>
    <col min="10" max="12" width="21.85546875" customWidth="1"/>
  </cols>
  <sheetData>
    <row r="1" spans="1:83" ht="24.7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>
        <v>1</v>
      </c>
      <c r="N1">
        <v>1.5</v>
      </c>
      <c r="O1">
        <v>2</v>
      </c>
      <c r="P1">
        <v>2.5</v>
      </c>
      <c r="Q1">
        <v>3</v>
      </c>
      <c r="R1">
        <v>3.5</v>
      </c>
      <c r="S1">
        <v>4</v>
      </c>
      <c r="T1">
        <v>4.5</v>
      </c>
      <c r="U1">
        <v>5</v>
      </c>
      <c r="V1">
        <v>5.5</v>
      </c>
      <c r="W1">
        <v>6</v>
      </c>
      <c r="X1">
        <v>6.5</v>
      </c>
      <c r="Y1">
        <v>7</v>
      </c>
      <c r="Z1">
        <v>7.5</v>
      </c>
      <c r="AA1">
        <v>8</v>
      </c>
      <c r="AB1">
        <v>8.5</v>
      </c>
      <c r="AC1">
        <v>9</v>
      </c>
      <c r="AD1">
        <v>9.5</v>
      </c>
      <c r="AE1">
        <v>10</v>
      </c>
      <c r="AF1">
        <v>10.5</v>
      </c>
      <c r="AG1">
        <v>11</v>
      </c>
      <c r="AH1">
        <v>11.5</v>
      </c>
      <c r="AI1">
        <v>12</v>
      </c>
      <c r="AJ1">
        <v>12.5</v>
      </c>
      <c r="AK1">
        <v>13</v>
      </c>
      <c r="AL1">
        <v>13.5</v>
      </c>
      <c r="AM1">
        <v>14</v>
      </c>
      <c r="AN1">
        <v>14.5</v>
      </c>
      <c r="AO1">
        <v>15</v>
      </c>
      <c r="AP1">
        <v>15.5</v>
      </c>
      <c r="AQ1">
        <v>16</v>
      </c>
      <c r="AR1">
        <v>16.5</v>
      </c>
      <c r="AS1">
        <v>17</v>
      </c>
      <c r="AT1">
        <v>17.5</v>
      </c>
      <c r="AU1">
        <v>18</v>
      </c>
      <c r="AV1">
        <v>18.5</v>
      </c>
      <c r="AW1">
        <v>19</v>
      </c>
      <c r="AX1">
        <v>19.5</v>
      </c>
      <c r="AY1">
        <v>20</v>
      </c>
      <c r="AZ1">
        <v>20.5</v>
      </c>
      <c r="BA1">
        <v>21</v>
      </c>
      <c r="BB1">
        <v>22</v>
      </c>
      <c r="BC1">
        <v>23</v>
      </c>
      <c r="BD1">
        <v>24</v>
      </c>
      <c r="BE1">
        <v>25</v>
      </c>
      <c r="BF1">
        <v>26</v>
      </c>
      <c r="BG1">
        <v>27</v>
      </c>
      <c r="BH1">
        <v>28</v>
      </c>
      <c r="BI1">
        <v>29</v>
      </c>
      <c r="BJ1">
        <v>30</v>
      </c>
      <c r="BK1">
        <v>31</v>
      </c>
      <c r="BL1">
        <v>32</v>
      </c>
      <c r="BM1">
        <v>33</v>
      </c>
      <c r="BN1">
        <v>34</v>
      </c>
      <c r="BO1">
        <v>35</v>
      </c>
      <c r="BP1">
        <v>36</v>
      </c>
      <c r="BQ1">
        <v>37</v>
      </c>
      <c r="BR1">
        <v>38</v>
      </c>
      <c r="BS1">
        <v>39</v>
      </c>
      <c r="BT1">
        <v>40</v>
      </c>
      <c r="BU1">
        <v>41</v>
      </c>
      <c r="BV1">
        <v>42</v>
      </c>
      <c r="BW1">
        <v>43</v>
      </c>
      <c r="BX1">
        <v>44</v>
      </c>
      <c r="BY1">
        <v>45</v>
      </c>
      <c r="BZ1">
        <v>46</v>
      </c>
      <c r="CA1">
        <v>47</v>
      </c>
      <c r="CB1">
        <v>48</v>
      </c>
      <c r="CC1">
        <v>49</v>
      </c>
      <c r="CD1">
        <v>50</v>
      </c>
      <c r="CE1" t="s">
        <v>12</v>
      </c>
    </row>
    <row r="2" spans="1:83" x14ac:dyDescent="0.25">
      <c r="A2" t="s">
        <v>13</v>
      </c>
      <c r="B2" t="s">
        <v>14</v>
      </c>
      <c r="C2" t="s">
        <v>15</v>
      </c>
      <c r="D2" t="s">
        <v>16</v>
      </c>
      <c r="E2" t="s">
        <v>17</v>
      </c>
      <c r="F2" t="s">
        <v>18</v>
      </c>
      <c r="G2" t="s">
        <v>19</v>
      </c>
      <c r="H2" t="s">
        <v>20</v>
      </c>
      <c r="I2">
        <v>3</v>
      </c>
      <c r="J2" s="10">
        <v>45938.795844907407</v>
      </c>
      <c r="K2" t="s">
        <v>21</v>
      </c>
      <c r="L2" t="s">
        <v>22</v>
      </c>
      <c r="U2">
        <v>3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CE2">
        <v>0</v>
      </c>
    </row>
    <row r="3" spans="1:83" x14ac:dyDescent="0.25">
      <c r="A3" t="s">
        <v>23</v>
      </c>
      <c r="B3" t="s">
        <v>24</v>
      </c>
      <c r="C3" t="s">
        <v>25</v>
      </c>
      <c r="D3" t="s">
        <v>16</v>
      </c>
      <c r="E3" t="s">
        <v>26</v>
      </c>
      <c r="F3" t="s">
        <v>27</v>
      </c>
      <c r="G3" t="s">
        <v>28</v>
      </c>
      <c r="H3" t="s">
        <v>29</v>
      </c>
      <c r="I3">
        <v>167</v>
      </c>
      <c r="J3" s="10">
        <v>45938.808622685188</v>
      </c>
      <c r="K3" t="s">
        <v>21</v>
      </c>
      <c r="L3" t="s">
        <v>30</v>
      </c>
      <c r="V3">
        <v>26</v>
      </c>
      <c r="W3">
        <v>0</v>
      </c>
      <c r="X3">
        <v>12</v>
      </c>
      <c r="Y3">
        <v>0</v>
      </c>
      <c r="Z3">
        <v>14</v>
      </c>
      <c r="AA3">
        <v>45</v>
      </c>
      <c r="AB3">
        <v>0</v>
      </c>
      <c r="AC3">
        <v>60</v>
      </c>
      <c r="AD3">
        <v>0</v>
      </c>
      <c r="AE3">
        <v>10</v>
      </c>
      <c r="AF3">
        <v>0</v>
      </c>
      <c r="CE3">
        <v>0</v>
      </c>
    </row>
    <row r="4" spans="1:83" x14ac:dyDescent="0.25">
      <c r="A4" t="s">
        <v>31</v>
      </c>
      <c r="B4" t="s">
        <v>32</v>
      </c>
      <c r="C4" t="s">
        <v>33</v>
      </c>
      <c r="D4" t="s">
        <v>16</v>
      </c>
      <c r="E4" t="s">
        <v>34</v>
      </c>
      <c r="F4" t="s">
        <v>35</v>
      </c>
      <c r="G4" t="s">
        <v>36</v>
      </c>
      <c r="H4" t="s">
        <v>37</v>
      </c>
      <c r="I4">
        <v>89</v>
      </c>
      <c r="J4" t="s">
        <v>38</v>
      </c>
      <c r="K4" t="s">
        <v>21</v>
      </c>
      <c r="AC4">
        <v>2</v>
      </c>
      <c r="AD4">
        <v>0</v>
      </c>
      <c r="AE4">
        <v>0</v>
      </c>
      <c r="AF4">
        <v>6</v>
      </c>
      <c r="AG4">
        <v>27</v>
      </c>
      <c r="AH4">
        <v>0</v>
      </c>
      <c r="AI4">
        <v>0</v>
      </c>
      <c r="AJ4">
        <v>3</v>
      </c>
      <c r="AK4">
        <v>0</v>
      </c>
      <c r="AL4">
        <v>0</v>
      </c>
      <c r="AM4">
        <v>2</v>
      </c>
      <c r="AN4">
        <v>0</v>
      </c>
      <c r="AP4">
        <v>49</v>
      </c>
      <c r="AR4">
        <v>0</v>
      </c>
      <c r="CE4">
        <v>0</v>
      </c>
    </row>
    <row r="5" spans="1:83" x14ac:dyDescent="0.25">
      <c r="A5" t="s">
        <v>39</v>
      </c>
      <c r="B5" t="s">
        <v>40</v>
      </c>
      <c r="C5" t="s">
        <v>41</v>
      </c>
      <c r="D5" t="s">
        <v>16</v>
      </c>
      <c r="E5" t="s">
        <v>42</v>
      </c>
      <c r="F5" t="s">
        <v>43</v>
      </c>
      <c r="G5" t="s">
        <v>44</v>
      </c>
      <c r="H5" t="s">
        <v>45</v>
      </c>
      <c r="I5">
        <v>12</v>
      </c>
      <c r="J5" t="s">
        <v>46</v>
      </c>
      <c r="T5">
        <v>0</v>
      </c>
      <c r="U5">
        <v>1</v>
      </c>
      <c r="V5">
        <v>1</v>
      </c>
      <c r="W5">
        <v>0</v>
      </c>
      <c r="X5">
        <v>1</v>
      </c>
      <c r="Y5">
        <v>2</v>
      </c>
      <c r="Z5">
        <v>2</v>
      </c>
      <c r="AA5">
        <v>4</v>
      </c>
      <c r="AB5">
        <v>0</v>
      </c>
      <c r="AC5">
        <v>1</v>
      </c>
      <c r="AD5">
        <v>0</v>
      </c>
      <c r="CE5">
        <v>0</v>
      </c>
    </row>
    <row r="6" spans="1:83" x14ac:dyDescent="0.25">
      <c r="A6" t="s">
        <v>47</v>
      </c>
      <c r="B6" t="s">
        <v>48</v>
      </c>
      <c r="C6" t="s">
        <v>49</v>
      </c>
      <c r="D6" t="s">
        <v>50</v>
      </c>
      <c r="E6" t="s">
        <v>26</v>
      </c>
      <c r="F6" t="s">
        <v>51</v>
      </c>
      <c r="G6" t="s">
        <v>52</v>
      </c>
      <c r="H6" t="s">
        <v>53</v>
      </c>
      <c r="I6">
        <v>14</v>
      </c>
      <c r="J6" t="s">
        <v>54</v>
      </c>
      <c r="W6">
        <v>0</v>
      </c>
      <c r="X6">
        <v>0</v>
      </c>
      <c r="Y6">
        <v>5</v>
      </c>
      <c r="Z6">
        <v>0</v>
      </c>
      <c r="AJ6">
        <v>0</v>
      </c>
      <c r="AK6">
        <v>2</v>
      </c>
      <c r="AM6">
        <v>0</v>
      </c>
      <c r="AO6">
        <v>7</v>
      </c>
      <c r="CE6">
        <v>0</v>
      </c>
    </row>
    <row r="7" spans="1:83" x14ac:dyDescent="0.25">
      <c r="A7" t="s">
        <v>55</v>
      </c>
      <c r="B7" t="s">
        <v>56</v>
      </c>
      <c r="C7" t="s">
        <v>57</v>
      </c>
      <c r="D7" t="s">
        <v>50</v>
      </c>
      <c r="E7" t="s">
        <v>42</v>
      </c>
      <c r="F7" t="s">
        <v>43</v>
      </c>
      <c r="G7" t="s">
        <v>58</v>
      </c>
      <c r="H7" t="s">
        <v>59</v>
      </c>
      <c r="I7">
        <v>53</v>
      </c>
      <c r="J7" t="s">
        <v>60</v>
      </c>
      <c r="AA7">
        <v>1</v>
      </c>
      <c r="AB7">
        <v>0</v>
      </c>
      <c r="AC7">
        <v>11</v>
      </c>
      <c r="AD7">
        <v>5</v>
      </c>
      <c r="AE7">
        <v>4</v>
      </c>
      <c r="AF7">
        <v>14</v>
      </c>
      <c r="AG7">
        <v>6</v>
      </c>
      <c r="AH7">
        <v>6</v>
      </c>
      <c r="AI7">
        <v>4</v>
      </c>
      <c r="AK7">
        <v>2</v>
      </c>
      <c r="AM7">
        <v>0</v>
      </c>
      <c r="CE7">
        <v>0</v>
      </c>
    </row>
    <row r="8" spans="1:83" x14ac:dyDescent="0.25">
      <c r="A8" t="s">
        <v>61</v>
      </c>
      <c r="B8" t="s">
        <v>62</v>
      </c>
      <c r="C8" t="s">
        <v>63</v>
      </c>
      <c r="D8" t="s">
        <v>50</v>
      </c>
      <c r="E8" t="s">
        <v>64</v>
      </c>
      <c r="F8" t="s">
        <v>65</v>
      </c>
      <c r="G8" t="s">
        <v>52</v>
      </c>
      <c r="H8" t="s">
        <v>66</v>
      </c>
      <c r="I8">
        <v>5</v>
      </c>
      <c r="J8" t="s">
        <v>67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4</v>
      </c>
      <c r="AG8">
        <v>0</v>
      </c>
      <c r="AH8">
        <v>0</v>
      </c>
      <c r="AI8">
        <v>1</v>
      </c>
      <c r="CE8">
        <v>0</v>
      </c>
    </row>
    <row r="9" spans="1:83" x14ac:dyDescent="0.25">
      <c r="A9" t="s">
        <v>68</v>
      </c>
      <c r="B9" t="s">
        <v>69</v>
      </c>
      <c r="C9" t="s">
        <v>49</v>
      </c>
      <c r="D9" t="s">
        <v>16</v>
      </c>
      <c r="E9" t="s">
        <v>26</v>
      </c>
      <c r="F9" t="s">
        <v>51</v>
      </c>
      <c r="G9" t="s">
        <v>52</v>
      </c>
      <c r="H9" t="s">
        <v>70</v>
      </c>
      <c r="I9">
        <v>6</v>
      </c>
      <c r="J9" t="s">
        <v>71</v>
      </c>
      <c r="K9" t="s">
        <v>21</v>
      </c>
      <c r="U9">
        <v>1</v>
      </c>
      <c r="V9">
        <v>1</v>
      </c>
      <c r="W9">
        <v>0</v>
      </c>
      <c r="X9">
        <v>1</v>
      </c>
      <c r="AA9">
        <v>0</v>
      </c>
      <c r="AC9">
        <v>1</v>
      </c>
      <c r="AE9">
        <v>0</v>
      </c>
      <c r="AF9">
        <v>2</v>
      </c>
      <c r="AG9">
        <v>0</v>
      </c>
      <c r="CE9">
        <v>0</v>
      </c>
    </row>
    <row r="10" spans="1:83" x14ac:dyDescent="0.25">
      <c r="A10" t="s">
        <v>72</v>
      </c>
      <c r="B10" t="s">
        <v>73</v>
      </c>
      <c r="C10" t="s">
        <v>57</v>
      </c>
      <c r="D10" t="s">
        <v>50</v>
      </c>
      <c r="E10" t="s">
        <v>42</v>
      </c>
      <c r="F10" t="s">
        <v>43</v>
      </c>
      <c r="G10" t="s">
        <v>74</v>
      </c>
      <c r="H10" t="s">
        <v>75</v>
      </c>
      <c r="I10">
        <v>9</v>
      </c>
      <c r="J10" t="s">
        <v>76</v>
      </c>
      <c r="Z10">
        <v>3</v>
      </c>
      <c r="AA10">
        <v>0</v>
      </c>
      <c r="AB10">
        <v>0</v>
      </c>
      <c r="AC10">
        <v>0</v>
      </c>
      <c r="AD10">
        <v>2</v>
      </c>
      <c r="AE10">
        <v>1</v>
      </c>
      <c r="AF10">
        <v>0</v>
      </c>
      <c r="AG10">
        <v>1</v>
      </c>
      <c r="AH10">
        <v>0</v>
      </c>
      <c r="AI10">
        <v>2</v>
      </c>
      <c r="AJ10">
        <v>0</v>
      </c>
      <c r="AK10">
        <v>0</v>
      </c>
      <c r="AM10">
        <v>0</v>
      </c>
      <c r="AO10">
        <v>0</v>
      </c>
      <c r="CE10">
        <v>0</v>
      </c>
    </row>
    <row r="11" spans="1:83" x14ac:dyDescent="0.25">
      <c r="A11" t="s">
        <v>77</v>
      </c>
      <c r="B11" t="s">
        <v>78</v>
      </c>
      <c r="C11" t="s">
        <v>79</v>
      </c>
      <c r="D11" t="s">
        <v>50</v>
      </c>
      <c r="E11" t="s">
        <v>80</v>
      </c>
      <c r="F11" t="s">
        <v>81</v>
      </c>
      <c r="G11" t="s">
        <v>44</v>
      </c>
      <c r="H11" t="s">
        <v>82</v>
      </c>
      <c r="I11">
        <v>10</v>
      </c>
      <c r="J11" t="s">
        <v>83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3</v>
      </c>
      <c r="AG11">
        <v>3</v>
      </c>
      <c r="AH11">
        <v>0</v>
      </c>
      <c r="AI11">
        <v>2</v>
      </c>
      <c r="AJ11">
        <v>0</v>
      </c>
      <c r="AK11">
        <v>2</v>
      </c>
      <c r="AM11">
        <v>0</v>
      </c>
      <c r="CE11">
        <v>0</v>
      </c>
    </row>
    <row r="12" spans="1:83" x14ac:dyDescent="0.25">
      <c r="A12" t="s">
        <v>84</v>
      </c>
      <c r="B12" t="s">
        <v>85</v>
      </c>
      <c r="C12" t="s">
        <v>57</v>
      </c>
      <c r="D12" t="s">
        <v>16</v>
      </c>
      <c r="E12" t="s">
        <v>42</v>
      </c>
      <c r="F12" t="s">
        <v>43</v>
      </c>
      <c r="G12" t="s">
        <v>58</v>
      </c>
      <c r="H12" t="s">
        <v>86</v>
      </c>
      <c r="I12">
        <v>21</v>
      </c>
      <c r="J12" t="s">
        <v>87</v>
      </c>
      <c r="V12">
        <v>2</v>
      </c>
      <c r="W12">
        <v>0</v>
      </c>
      <c r="X12">
        <v>1</v>
      </c>
      <c r="Y12">
        <v>2</v>
      </c>
      <c r="Z12">
        <v>0</v>
      </c>
      <c r="AA12">
        <v>4</v>
      </c>
      <c r="AB12">
        <v>1</v>
      </c>
      <c r="AC12">
        <v>6</v>
      </c>
      <c r="AD12">
        <v>4</v>
      </c>
      <c r="AE12">
        <v>1</v>
      </c>
      <c r="CE12">
        <v>0</v>
      </c>
    </row>
    <row r="13" spans="1:83" x14ac:dyDescent="0.25">
      <c r="A13" t="s">
        <v>88</v>
      </c>
      <c r="B13" t="s">
        <v>89</v>
      </c>
      <c r="C13" t="s">
        <v>41</v>
      </c>
      <c r="D13" t="s">
        <v>16</v>
      </c>
      <c r="E13" t="s">
        <v>42</v>
      </c>
      <c r="F13" t="s">
        <v>43</v>
      </c>
      <c r="G13" t="s">
        <v>44</v>
      </c>
      <c r="H13" t="s">
        <v>45</v>
      </c>
      <c r="I13">
        <v>0</v>
      </c>
      <c r="J13" t="s">
        <v>90</v>
      </c>
      <c r="K13" t="s">
        <v>21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CE13">
        <v>0</v>
      </c>
    </row>
    <row r="14" spans="1:83" x14ac:dyDescent="0.25">
      <c r="A14" t="s">
        <v>91</v>
      </c>
      <c r="B14" t="s">
        <v>92</v>
      </c>
      <c r="C14" t="s">
        <v>93</v>
      </c>
      <c r="D14" t="s">
        <v>16</v>
      </c>
      <c r="E14" t="s">
        <v>94</v>
      </c>
      <c r="F14" t="s">
        <v>95</v>
      </c>
      <c r="G14" t="s">
        <v>96</v>
      </c>
      <c r="H14" t="s">
        <v>97</v>
      </c>
      <c r="I14">
        <v>5</v>
      </c>
      <c r="J14" t="s">
        <v>98</v>
      </c>
      <c r="K14" t="s">
        <v>21</v>
      </c>
      <c r="U14">
        <v>1</v>
      </c>
      <c r="V14">
        <v>0</v>
      </c>
      <c r="W14">
        <v>1</v>
      </c>
      <c r="X14">
        <v>2</v>
      </c>
      <c r="Y14">
        <v>0</v>
      </c>
      <c r="Z14">
        <v>1</v>
      </c>
      <c r="AA14">
        <v>0</v>
      </c>
      <c r="AB14">
        <v>0</v>
      </c>
      <c r="AC14">
        <v>0</v>
      </c>
      <c r="AD14">
        <v>0</v>
      </c>
      <c r="AE14">
        <v>0</v>
      </c>
      <c r="CE14">
        <v>0</v>
      </c>
    </row>
    <row r="15" spans="1:83" x14ac:dyDescent="0.25">
      <c r="A15" t="s">
        <v>121</v>
      </c>
      <c r="B15" t="s">
        <v>122</v>
      </c>
      <c r="C15" t="s">
        <v>123</v>
      </c>
      <c r="D15" t="s">
        <v>16</v>
      </c>
      <c r="E15" t="s">
        <v>124</v>
      </c>
      <c r="F15" t="s">
        <v>125</v>
      </c>
      <c r="G15" t="s">
        <v>126</v>
      </c>
      <c r="H15" t="s">
        <v>127</v>
      </c>
      <c r="I15">
        <v>49</v>
      </c>
      <c r="J15" t="s">
        <v>128</v>
      </c>
      <c r="Q15">
        <v>0</v>
      </c>
      <c r="R15">
        <v>0</v>
      </c>
      <c r="S15">
        <v>2</v>
      </c>
      <c r="T15">
        <v>12</v>
      </c>
      <c r="U15">
        <v>2</v>
      </c>
      <c r="V15">
        <v>2</v>
      </c>
      <c r="W15">
        <v>30</v>
      </c>
      <c r="X15">
        <v>1</v>
      </c>
      <c r="Y15">
        <v>0</v>
      </c>
      <c r="Z15">
        <v>0</v>
      </c>
      <c r="AA15">
        <v>0</v>
      </c>
      <c r="AB15">
        <v>0</v>
      </c>
      <c r="CE15">
        <v>0</v>
      </c>
    </row>
    <row r="16" spans="1:83" x14ac:dyDescent="0.25">
      <c r="A16" t="s">
        <v>129</v>
      </c>
      <c r="B16" t="s">
        <v>130</v>
      </c>
      <c r="C16" t="s">
        <v>123</v>
      </c>
      <c r="D16" t="s">
        <v>50</v>
      </c>
      <c r="E16" t="s">
        <v>124</v>
      </c>
      <c r="F16" t="s">
        <v>125</v>
      </c>
      <c r="G16" t="s">
        <v>131</v>
      </c>
      <c r="H16" t="s">
        <v>132</v>
      </c>
      <c r="I16">
        <v>43</v>
      </c>
      <c r="J16" t="s">
        <v>133</v>
      </c>
      <c r="L16" t="s">
        <v>134</v>
      </c>
      <c r="Z16">
        <v>0</v>
      </c>
      <c r="AA16">
        <v>0</v>
      </c>
      <c r="AC16">
        <v>1</v>
      </c>
      <c r="AD16">
        <v>0</v>
      </c>
      <c r="AE16">
        <v>12</v>
      </c>
      <c r="AF16">
        <v>15</v>
      </c>
      <c r="AG16">
        <v>0</v>
      </c>
      <c r="AI16">
        <v>15</v>
      </c>
      <c r="CE16">
        <v>0</v>
      </c>
    </row>
    <row r="17" spans="1:83" x14ac:dyDescent="0.25">
      <c r="A17" t="s">
        <v>135</v>
      </c>
      <c r="B17" t="s">
        <v>136</v>
      </c>
      <c r="C17" t="s">
        <v>79</v>
      </c>
      <c r="D17" t="s">
        <v>16</v>
      </c>
      <c r="E17" t="s">
        <v>80</v>
      </c>
      <c r="F17" t="s">
        <v>81</v>
      </c>
      <c r="G17" t="s">
        <v>74</v>
      </c>
      <c r="H17" t="s">
        <v>137</v>
      </c>
      <c r="I17">
        <v>24</v>
      </c>
      <c r="J17" t="s">
        <v>138</v>
      </c>
      <c r="U17">
        <v>2</v>
      </c>
      <c r="V17">
        <v>0</v>
      </c>
      <c r="W17">
        <v>2</v>
      </c>
      <c r="X17">
        <v>3</v>
      </c>
      <c r="Y17">
        <v>5</v>
      </c>
      <c r="Z17">
        <v>5</v>
      </c>
      <c r="AA17">
        <v>2</v>
      </c>
      <c r="AB17">
        <v>0</v>
      </c>
      <c r="AC17">
        <v>4</v>
      </c>
      <c r="AD17">
        <v>1</v>
      </c>
      <c r="AE17">
        <v>0</v>
      </c>
      <c r="AF17">
        <v>0</v>
      </c>
      <c r="CE17">
        <v>0</v>
      </c>
    </row>
    <row r="18" spans="1:83" x14ac:dyDescent="0.25">
      <c r="A18" t="s">
        <v>139</v>
      </c>
      <c r="B18" t="s">
        <v>140</v>
      </c>
      <c r="C18" t="s">
        <v>141</v>
      </c>
      <c r="D18" t="s">
        <v>50</v>
      </c>
      <c r="E18" t="s">
        <v>26</v>
      </c>
      <c r="F18" t="s">
        <v>51</v>
      </c>
      <c r="G18" t="s">
        <v>142</v>
      </c>
      <c r="H18" t="s">
        <v>143</v>
      </c>
      <c r="I18">
        <v>40</v>
      </c>
      <c r="J18" t="s">
        <v>144</v>
      </c>
      <c r="Y18">
        <v>0</v>
      </c>
      <c r="Z18">
        <v>0</v>
      </c>
      <c r="AA18">
        <v>0</v>
      </c>
      <c r="AB18">
        <v>0</v>
      </c>
      <c r="AC18">
        <v>2</v>
      </c>
      <c r="AD18">
        <v>7</v>
      </c>
      <c r="AE18">
        <v>5</v>
      </c>
      <c r="AF18">
        <v>4</v>
      </c>
      <c r="AG18">
        <v>2</v>
      </c>
      <c r="AH18">
        <v>14</v>
      </c>
      <c r="AI18">
        <v>5</v>
      </c>
      <c r="AJ18">
        <v>1</v>
      </c>
      <c r="AK18">
        <v>0</v>
      </c>
      <c r="CE18">
        <v>0</v>
      </c>
    </row>
    <row r="19" spans="1:83" x14ac:dyDescent="0.25">
      <c r="A19" t="s">
        <v>145</v>
      </c>
      <c r="B19" t="s">
        <v>146</v>
      </c>
      <c r="C19" t="s">
        <v>79</v>
      </c>
      <c r="D19" t="s">
        <v>16</v>
      </c>
      <c r="E19" t="s">
        <v>147</v>
      </c>
      <c r="F19" t="s">
        <v>148</v>
      </c>
      <c r="G19" t="s">
        <v>44</v>
      </c>
      <c r="H19" t="s">
        <v>149</v>
      </c>
      <c r="I19">
        <v>8</v>
      </c>
      <c r="J19" t="s">
        <v>150</v>
      </c>
      <c r="X19">
        <v>1</v>
      </c>
      <c r="Y19">
        <v>0</v>
      </c>
      <c r="Z19">
        <v>0</v>
      </c>
      <c r="AA19">
        <v>3</v>
      </c>
      <c r="AB19">
        <v>1</v>
      </c>
      <c r="AC19">
        <v>0</v>
      </c>
      <c r="AD19">
        <v>3</v>
      </c>
      <c r="CE19">
        <v>0</v>
      </c>
    </row>
    <row r="20" spans="1:83" x14ac:dyDescent="0.25">
      <c r="A20" t="s">
        <v>151</v>
      </c>
      <c r="B20" t="s">
        <v>152</v>
      </c>
      <c r="C20" t="s">
        <v>57</v>
      </c>
      <c r="D20" t="s">
        <v>50</v>
      </c>
      <c r="E20" t="s">
        <v>42</v>
      </c>
      <c r="F20" t="s">
        <v>43</v>
      </c>
      <c r="G20" t="s">
        <v>44</v>
      </c>
      <c r="H20" t="s">
        <v>153</v>
      </c>
      <c r="I20">
        <v>5</v>
      </c>
      <c r="J20" t="s">
        <v>154</v>
      </c>
      <c r="AB20">
        <v>0</v>
      </c>
      <c r="AC20">
        <v>1</v>
      </c>
      <c r="AD20">
        <v>0</v>
      </c>
      <c r="AE20">
        <v>0</v>
      </c>
      <c r="AF20">
        <v>1</v>
      </c>
      <c r="AG20">
        <v>1</v>
      </c>
      <c r="AH20">
        <v>1</v>
      </c>
      <c r="AI20">
        <v>0</v>
      </c>
      <c r="AJ20">
        <v>0</v>
      </c>
      <c r="AK20">
        <v>1</v>
      </c>
      <c r="AM20">
        <v>0</v>
      </c>
      <c r="AO20">
        <v>0</v>
      </c>
      <c r="CE20">
        <v>0</v>
      </c>
    </row>
    <row r="21" spans="1:83" x14ac:dyDescent="0.25">
      <c r="A21" t="s">
        <v>155</v>
      </c>
      <c r="B21" t="s">
        <v>156</v>
      </c>
      <c r="C21" t="s">
        <v>41</v>
      </c>
      <c r="D21" t="s">
        <v>50</v>
      </c>
      <c r="E21" t="s">
        <v>42</v>
      </c>
      <c r="F21" t="s">
        <v>43</v>
      </c>
      <c r="G21" t="s">
        <v>44</v>
      </c>
      <c r="H21" t="s">
        <v>157</v>
      </c>
      <c r="I21">
        <v>1</v>
      </c>
      <c r="J21" t="s">
        <v>158</v>
      </c>
      <c r="AA21">
        <v>0</v>
      </c>
      <c r="AB21">
        <v>0</v>
      </c>
      <c r="AC21">
        <v>0</v>
      </c>
      <c r="AD21">
        <v>1</v>
      </c>
      <c r="AE21">
        <v>0</v>
      </c>
      <c r="AF21">
        <v>0</v>
      </c>
      <c r="AG21">
        <v>0</v>
      </c>
      <c r="AH21">
        <v>0</v>
      </c>
      <c r="AI21">
        <v>0</v>
      </c>
      <c r="AK21">
        <v>0</v>
      </c>
      <c r="AM21">
        <v>0</v>
      </c>
      <c r="CE21">
        <v>0</v>
      </c>
    </row>
    <row r="22" spans="1:83" x14ac:dyDescent="0.25">
      <c r="A22" t="s">
        <v>159</v>
      </c>
      <c r="B22" t="s">
        <v>160</v>
      </c>
      <c r="C22" t="s">
        <v>57</v>
      </c>
      <c r="D22" t="s">
        <v>16</v>
      </c>
      <c r="E22" t="s">
        <v>42</v>
      </c>
      <c r="F22" t="s">
        <v>43</v>
      </c>
      <c r="G22" t="s">
        <v>74</v>
      </c>
      <c r="H22" t="s">
        <v>161</v>
      </c>
      <c r="I22">
        <v>25</v>
      </c>
      <c r="J22" t="s">
        <v>162</v>
      </c>
      <c r="T22">
        <v>1</v>
      </c>
      <c r="U22">
        <v>0</v>
      </c>
      <c r="V22">
        <v>2</v>
      </c>
      <c r="W22">
        <v>6</v>
      </c>
      <c r="X22">
        <v>1</v>
      </c>
      <c r="Y22">
        <v>6</v>
      </c>
      <c r="Z22">
        <v>0</v>
      </c>
      <c r="AA22">
        <v>1</v>
      </c>
      <c r="AB22">
        <v>2</v>
      </c>
      <c r="AC22">
        <v>5</v>
      </c>
      <c r="AD22">
        <v>0</v>
      </c>
      <c r="AE22">
        <v>1</v>
      </c>
      <c r="AF22">
        <v>0</v>
      </c>
      <c r="CE22">
        <v>0</v>
      </c>
    </row>
    <row r="23" spans="1:83" x14ac:dyDescent="0.25">
      <c r="A23" t="s">
        <v>163</v>
      </c>
      <c r="B23" t="s">
        <v>164</v>
      </c>
      <c r="C23" t="s">
        <v>41</v>
      </c>
      <c r="D23" t="s">
        <v>50</v>
      </c>
      <c r="E23" t="s">
        <v>80</v>
      </c>
      <c r="F23" t="s">
        <v>81</v>
      </c>
      <c r="G23" t="s">
        <v>44</v>
      </c>
      <c r="H23" t="s">
        <v>165</v>
      </c>
      <c r="I23">
        <v>12</v>
      </c>
      <c r="J23" t="s">
        <v>166</v>
      </c>
      <c r="AA23">
        <v>0</v>
      </c>
      <c r="AB23">
        <v>0</v>
      </c>
      <c r="AC23">
        <v>0</v>
      </c>
      <c r="AD23">
        <v>2</v>
      </c>
      <c r="AE23">
        <v>3</v>
      </c>
      <c r="AF23">
        <v>1</v>
      </c>
      <c r="AG23">
        <v>1</v>
      </c>
      <c r="AH23">
        <v>0</v>
      </c>
      <c r="AI23">
        <v>1</v>
      </c>
      <c r="AJ23">
        <v>0</v>
      </c>
      <c r="AK23">
        <v>2</v>
      </c>
      <c r="AM23">
        <v>2</v>
      </c>
      <c r="CE23">
        <v>0</v>
      </c>
    </row>
    <row r="24" spans="1:83" x14ac:dyDescent="0.25">
      <c r="A24" t="s">
        <v>167</v>
      </c>
      <c r="B24" t="s">
        <v>168</v>
      </c>
      <c r="C24" t="s">
        <v>41</v>
      </c>
      <c r="D24" t="s">
        <v>50</v>
      </c>
      <c r="E24" t="s">
        <v>80</v>
      </c>
      <c r="F24" t="s">
        <v>81</v>
      </c>
      <c r="G24" t="s">
        <v>44</v>
      </c>
      <c r="H24" t="s">
        <v>169</v>
      </c>
      <c r="I24">
        <v>37</v>
      </c>
      <c r="J24" t="s">
        <v>170</v>
      </c>
      <c r="L24" t="s">
        <v>171</v>
      </c>
      <c r="AA24">
        <v>0</v>
      </c>
      <c r="AB24">
        <v>0</v>
      </c>
      <c r="AC24">
        <v>1</v>
      </c>
      <c r="AD24">
        <v>5</v>
      </c>
      <c r="AE24">
        <v>6</v>
      </c>
      <c r="AF24">
        <v>4</v>
      </c>
      <c r="AG24">
        <v>2</v>
      </c>
      <c r="AH24">
        <v>6</v>
      </c>
      <c r="AI24">
        <v>11</v>
      </c>
      <c r="AJ24">
        <v>0</v>
      </c>
      <c r="AK24">
        <v>2</v>
      </c>
      <c r="AM24">
        <v>0</v>
      </c>
      <c r="CE24">
        <v>0</v>
      </c>
    </row>
    <row r="25" spans="1:83" x14ac:dyDescent="0.25">
      <c r="A25" t="s">
        <v>172</v>
      </c>
      <c r="B25" t="s">
        <v>173</v>
      </c>
      <c r="C25" t="s">
        <v>41</v>
      </c>
      <c r="D25" t="s">
        <v>50</v>
      </c>
      <c r="E25" t="s">
        <v>174</v>
      </c>
      <c r="F25" t="s">
        <v>175</v>
      </c>
      <c r="G25" t="s">
        <v>44</v>
      </c>
      <c r="H25" t="s">
        <v>176</v>
      </c>
      <c r="I25">
        <v>14</v>
      </c>
      <c r="J25" t="s">
        <v>177</v>
      </c>
      <c r="AA25">
        <v>2</v>
      </c>
      <c r="AC25">
        <v>0</v>
      </c>
      <c r="AE25">
        <v>2</v>
      </c>
      <c r="AG25">
        <v>1</v>
      </c>
      <c r="AI25">
        <v>5</v>
      </c>
      <c r="AK25">
        <v>0</v>
      </c>
      <c r="AM25">
        <v>2</v>
      </c>
      <c r="AO25">
        <v>2</v>
      </c>
      <c r="CE25">
        <v>0</v>
      </c>
    </row>
    <row r="26" spans="1:83" x14ac:dyDescent="0.25">
      <c r="A26" t="s">
        <v>178</v>
      </c>
      <c r="B26" t="s">
        <v>179</v>
      </c>
      <c r="C26" t="s">
        <v>63</v>
      </c>
      <c r="D26" t="s">
        <v>50</v>
      </c>
      <c r="E26" t="s">
        <v>26</v>
      </c>
      <c r="F26" t="s">
        <v>51</v>
      </c>
      <c r="G26" t="s">
        <v>52</v>
      </c>
      <c r="H26" t="s">
        <v>180</v>
      </c>
      <c r="I26">
        <v>17</v>
      </c>
      <c r="J26" t="s">
        <v>181</v>
      </c>
      <c r="Y26">
        <v>0</v>
      </c>
      <c r="Z26">
        <v>0</v>
      </c>
      <c r="AA26">
        <v>0</v>
      </c>
      <c r="AB26">
        <v>2</v>
      </c>
      <c r="AC26">
        <v>0</v>
      </c>
      <c r="AD26">
        <v>2</v>
      </c>
      <c r="AE26">
        <v>1</v>
      </c>
      <c r="AF26">
        <v>0</v>
      </c>
      <c r="AG26">
        <v>4</v>
      </c>
      <c r="AH26">
        <v>0</v>
      </c>
      <c r="AI26">
        <v>1</v>
      </c>
      <c r="AJ26">
        <v>2</v>
      </c>
      <c r="AK26">
        <v>5</v>
      </c>
      <c r="AM26">
        <v>0</v>
      </c>
      <c r="CE26">
        <v>0</v>
      </c>
    </row>
    <row r="27" spans="1:83" x14ac:dyDescent="0.25">
      <c r="A27" t="s">
        <v>182</v>
      </c>
      <c r="B27" t="s">
        <v>183</v>
      </c>
      <c r="C27" t="s">
        <v>25</v>
      </c>
      <c r="D27" t="s">
        <v>50</v>
      </c>
      <c r="E27" t="s">
        <v>26</v>
      </c>
      <c r="F27" t="s">
        <v>27</v>
      </c>
      <c r="G27" t="s">
        <v>28</v>
      </c>
      <c r="H27" t="s">
        <v>184</v>
      </c>
      <c r="I27">
        <v>40</v>
      </c>
      <c r="J27" t="s">
        <v>185</v>
      </c>
      <c r="L27" t="s">
        <v>171</v>
      </c>
      <c r="Y27">
        <v>2</v>
      </c>
      <c r="Z27">
        <v>0</v>
      </c>
      <c r="AA27">
        <v>0</v>
      </c>
      <c r="AB27">
        <v>1</v>
      </c>
      <c r="AC27">
        <v>9</v>
      </c>
      <c r="AD27">
        <v>2</v>
      </c>
      <c r="AE27">
        <v>6</v>
      </c>
      <c r="AF27">
        <v>0</v>
      </c>
      <c r="AG27">
        <v>5</v>
      </c>
      <c r="AH27">
        <v>2</v>
      </c>
      <c r="AI27">
        <v>1</v>
      </c>
      <c r="AJ27">
        <v>2</v>
      </c>
      <c r="AK27">
        <v>1</v>
      </c>
      <c r="AL27">
        <v>0</v>
      </c>
      <c r="AM27">
        <v>8</v>
      </c>
      <c r="AO27">
        <v>0</v>
      </c>
      <c r="AQ27">
        <v>1</v>
      </c>
      <c r="CE27">
        <v>0</v>
      </c>
    </row>
    <row r="28" spans="1:83" x14ac:dyDescent="0.25">
      <c r="A28" t="s">
        <v>186</v>
      </c>
      <c r="B28" t="s">
        <v>187</v>
      </c>
      <c r="C28" t="s">
        <v>41</v>
      </c>
      <c r="D28" t="s">
        <v>50</v>
      </c>
      <c r="E28" t="s">
        <v>42</v>
      </c>
      <c r="F28" t="s">
        <v>43</v>
      </c>
      <c r="G28" t="s">
        <v>44</v>
      </c>
      <c r="H28" t="s">
        <v>188</v>
      </c>
      <c r="I28">
        <v>1</v>
      </c>
      <c r="J28" t="s">
        <v>189</v>
      </c>
      <c r="Y28">
        <v>0</v>
      </c>
      <c r="Z28">
        <v>0</v>
      </c>
      <c r="AE28">
        <v>0</v>
      </c>
      <c r="AF28">
        <v>0</v>
      </c>
      <c r="AG28">
        <v>0</v>
      </c>
      <c r="AH28">
        <v>0</v>
      </c>
      <c r="AI28">
        <v>1</v>
      </c>
      <c r="AK28">
        <v>0</v>
      </c>
      <c r="AM28">
        <v>0</v>
      </c>
      <c r="AO28">
        <v>0</v>
      </c>
      <c r="CE28">
        <v>0</v>
      </c>
    </row>
    <row r="29" spans="1:83" x14ac:dyDescent="0.25">
      <c r="A29" t="s">
        <v>190</v>
      </c>
      <c r="B29" t="s">
        <v>191</v>
      </c>
      <c r="C29" t="s">
        <v>49</v>
      </c>
      <c r="D29" t="s">
        <v>50</v>
      </c>
      <c r="E29" t="s">
        <v>26</v>
      </c>
      <c r="F29" t="s">
        <v>27</v>
      </c>
      <c r="G29" t="s">
        <v>28</v>
      </c>
      <c r="H29" t="s">
        <v>192</v>
      </c>
      <c r="I29">
        <v>6</v>
      </c>
      <c r="J29" t="s">
        <v>193</v>
      </c>
      <c r="Y29">
        <v>0</v>
      </c>
      <c r="Z29">
        <v>0</v>
      </c>
      <c r="AA29">
        <v>0</v>
      </c>
      <c r="AB29">
        <v>1</v>
      </c>
      <c r="AC29">
        <v>0</v>
      </c>
      <c r="AD29">
        <v>0</v>
      </c>
      <c r="AE29">
        <v>3</v>
      </c>
      <c r="AF29">
        <v>0</v>
      </c>
      <c r="AG29">
        <v>0</v>
      </c>
      <c r="AH29">
        <v>1</v>
      </c>
      <c r="AI29">
        <v>1</v>
      </c>
      <c r="AJ29">
        <v>0</v>
      </c>
      <c r="AK29">
        <v>0</v>
      </c>
      <c r="CE29">
        <v>0</v>
      </c>
    </row>
    <row r="30" spans="1:83" x14ac:dyDescent="0.25">
      <c r="A30" t="s">
        <v>195</v>
      </c>
      <c r="B30" t="s">
        <v>196</v>
      </c>
      <c r="C30" t="s">
        <v>25</v>
      </c>
      <c r="D30" t="s">
        <v>197</v>
      </c>
      <c r="E30" t="s">
        <v>198</v>
      </c>
      <c r="F30" t="s">
        <v>199</v>
      </c>
      <c r="G30" t="s">
        <v>200</v>
      </c>
      <c r="H30" t="s">
        <v>201</v>
      </c>
      <c r="I30">
        <v>12</v>
      </c>
      <c r="J30" t="s">
        <v>202</v>
      </c>
      <c r="R30">
        <v>0</v>
      </c>
      <c r="S30">
        <v>0</v>
      </c>
      <c r="T30">
        <v>0</v>
      </c>
      <c r="U30">
        <v>0</v>
      </c>
      <c r="V30">
        <v>0</v>
      </c>
      <c r="W30">
        <v>3</v>
      </c>
      <c r="X30">
        <v>0</v>
      </c>
      <c r="Y30">
        <v>1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0</v>
      </c>
      <c r="AF30">
        <v>0</v>
      </c>
      <c r="AG30">
        <v>0</v>
      </c>
      <c r="AH30">
        <v>3</v>
      </c>
      <c r="AJ30">
        <v>1</v>
      </c>
      <c r="AL30">
        <v>3</v>
      </c>
      <c r="CE30">
        <v>0</v>
      </c>
    </row>
    <row r="31" spans="1:83" x14ac:dyDescent="0.25">
      <c r="A31" t="s">
        <v>204</v>
      </c>
      <c r="B31" t="s">
        <v>205</v>
      </c>
      <c r="C31" t="s">
        <v>206</v>
      </c>
      <c r="D31" t="s">
        <v>16</v>
      </c>
      <c r="E31" t="s">
        <v>26</v>
      </c>
      <c r="F31" t="s">
        <v>51</v>
      </c>
      <c r="G31" t="s">
        <v>207</v>
      </c>
      <c r="H31" t="s">
        <v>208</v>
      </c>
      <c r="I31">
        <v>27</v>
      </c>
      <c r="J31" t="s">
        <v>209</v>
      </c>
      <c r="L31" t="s">
        <v>210</v>
      </c>
      <c r="T31">
        <v>4</v>
      </c>
      <c r="U31">
        <v>2</v>
      </c>
      <c r="V31">
        <v>2</v>
      </c>
      <c r="W31">
        <v>3</v>
      </c>
      <c r="X31">
        <v>0</v>
      </c>
      <c r="Y31">
        <v>12</v>
      </c>
      <c r="Z31">
        <v>1</v>
      </c>
      <c r="AA31">
        <v>1</v>
      </c>
      <c r="AB31">
        <v>2</v>
      </c>
      <c r="AC31">
        <v>0</v>
      </c>
      <c r="AE31">
        <v>0</v>
      </c>
      <c r="CE31">
        <v>0</v>
      </c>
    </row>
    <row r="32" spans="1:83" x14ac:dyDescent="0.25">
      <c r="A32" t="s">
        <v>211</v>
      </c>
      <c r="B32" t="s">
        <v>212</v>
      </c>
      <c r="C32" t="s">
        <v>206</v>
      </c>
      <c r="D32" t="s">
        <v>16</v>
      </c>
      <c r="E32" t="s">
        <v>26</v>
      </c>
      <c r="F32" t="s">
        <v>51</v>
      </c>
      <c r="G32" t="s">
        <v>52</v>
      </c>
      <c r="H32" t="s">
        <v>213</v>
      </c>
      <c r="I32">
        <v>34</v>
      </c>
      <c r="J32" t="s">
        <v>214</v>
      </c>
      <c r="L32" t="s">
        <v>215</v>
      </c>
      <c r="R32">
        <v>2</v>
      </c>
      <c r="S32">
        <v>1</v>
      </c>
      <c r="T32">
        <v>0</v>
      </c>
      <c r="U32">
        <v>0</v>
      </c>
      <c r="V32">
        <v>11</v>
      </c>
      <c r="W32">
        <v>1</v>
      </c>
      <c r="X32">
        <v>8</v>
      </c>
      <c r="Y32">
        <v>6</v>
      </c>
      <c r="Z32">
        <v>2</v>
      </c>
      <c r="AA32">
        <v>1</v>
      </c>
      <c r="AB32">
        <v>2</v>
      </c>
      <c r="AC32">
        <v>0</v>
      </c>
      <c r="AD32">
        <v>0</v>
      </c>
      <c r="AF32">
        <v>0</v>
      </c>
      <c r="CE32">
        <v>0</v>
      </c>
    </row>
    <row r="33" spans="1:83" x14ac:dyDescent="0.25">
      <c r="A33" t="s">
        <v>216</v>
      </c>
      <c r="B33" t="s">
        <v>217</v>
      </c>
      <c r="C33" t="s">
        <v>218</v>
      </c>
      <c r="D33" t="s">
        <v>16</v>
      </c>
      <c r="E33" t="s">
        <v>26</v>
      </c>
      <c r="F33" t="s">
        <v>27</v>
      </c>
      <c r="G33" t="s">
        <v>28</v>
      </c>
      <c r="H33" t="s">
        <v>219</v>
      </c>
      <c r="I33">
        <v>89</v>
      </c>
      <c r="J33" t="s">
        <v>220</v>
      </c>
      <c r="K33" t="s">
        <v>21</v>
      </c>
      <c r="U33">
        <v>0</v>
      </c>
      <c r="V33">
        <v>0</v>
      </c>
      <c r="W33">
        <v>0</v>
      </c>
      <c r="X33">
        <v>63</v>
      </c>
      <c r="Y33">
        <v>13</v>
      </c>
      <c r="Z33">
        <v>0</v>
      </c>
      <c r="AA33">
        <v>4</v>
      </c>
      <c r="AB33">
        <v>4</v>
      </c>
      <c r="AC33">
        <v>1</v>
      </c>
      <c r="AD33">
        <v>4</v>
      </c>
      <c r="AE33">
        <v>0</v>
      </c>
      <c r="CE33">
        <v>0</v>
      </c>
    </row>
    <row r="34" spans="1:83" x14ac:dyDescent="0.25">
      <c r="A34" t="s">
        <v>221</v>
      </c>
      <c r="B34" t="s">
        <v>222</v>
      </c>
      <c r="C34" t="s">
        <v>63</v>
      </c>
      <c r="D34" t="s">
        <v>50</v>
      </c>
      <c r="E34" t="s">
        <v>64</v>
      </c>
      <c r="F34" t="s">
        <v>65</v>
      </c>
      <c r="G34" t="s">
        <v>223</v>
      </c>
      <c r="H34" t="s">
        <v>224</v>
      </c>
      <c r="I34">
        <v>67</v>
      </c>
      <c r="J34" t="s">
        <v>225</v>
      </c>
      <c r="T34">
        <v>0</v>
      </c>
      <c r="U34">
        <v>0</v>
      </c>
      <c r="V34">
        <v>0</v>
      </c>
      <c r="W34">
        <v>2</v>
      </c>
      <c r="X34">
        <v>0</v>
      </c>
      <c r="Y34">
        <v>14</v>
      </c>
      <c r="Z34">
        <v>0</v>
      </c>
      <c r="AA34">
        <v>5</v>
      </c>
      <c r="AB34">
        <v>2</v>
      </c>
      <c r="AC34">
        <v>3</v>
      </c>
      <c r="AD34">
        <v>0</v>
      </c>
      <c r="AE34">
        <v>5</v>
      </c>
      <c r="AF34">
        <v>0</v>
      </c>
      <c r="AG34">
        <v>12</v>
      </c>
      <c r="AH34">
        <v>0</v>
      </c>
      <c r="AI34">
        <v>7</v>
      </c>
      <c r="AK34">
        <v>17</v>
      </c>
      <c r="AM34">
        <v>0</v>
      </c>
      <c r="CE34">
        <v>0</v>
      </c>
    </row>
    <row r="35" spans="1:83" x14ac:dyDescent="0.25">
      <c r="A35" t="s">
        <v>226</v>
      </c>
      <c r="B35" t="s">
        <v>227</v>
      </c>
      <c r="C35" t="s">
        <v>228</v>
      </c>
      <c r="D35" t="s">
        <v>197</v>
      </c>
      <c r="E35" t="s">
        <v>229</v>
      </c>
      <c r="F35" t="s">
        <v>230</v>
      </c>
      <c r="G35" t="s">
        <v>231</v>
      </c>
      <c r="H35" t="s">
        <v>232</v>
      </c>
      <c r="I35">
        <v>116</v>
      </c>
      <c r="J35" t="s">
        <v>233</v>
      </c>
      <c r="Q35">
        <v>5</v>
      </c>
      <c r="R35">
        <v>3</v>
      </c>
      <c r="S35">
        <v>7</v>
      </c>
      <c r="T35">
        <v>5</v>
      </c>
      <c r="U35">
        <v>8</v>
      </c>
      <c r="V35">
        <v>2</v>
      </c>
      <c r="W35">
        <v>20</v>
      </c>
      <c r="X35">
        <v>8</v>
      </c>
      <c r="Y35">
        <v>6</v>
      </c>
      <c r="Z35">
        <v>15</v>
      </c>
      <c r="AA35">
        <v>6</v>
      </c>
      <c r="AB35">
        <v>4</v>
      </c>
      <c r="AC35">
        <v>16</v>
      </c>
      <c r="AD35">
        <v>2</v>
      </c>
      <c r="AE35">
        <v>5</v>
      </c>
      <c r="AF35">
        <v>0</v>
      </c>
      <c r="AG35">
        <v>0</v>
      </c>
      <c r="AI35">
        <v>2</v>
      </c>
      <c r="AK35">
        <v>2</v>
      </c>
      <c r="CE35">
        <v>0</v>
      </c>
    </row>
    <row r="36" spans="1:83" x14ac:dyDescent="0.25">
      <c r="A36" t="s">
        <v>234</v>
      </c>
      <c r="B36" t="s">
        <v>235</v>
      </c>
      <c r="C36" t="s">
        <v>57</v>
      </c>
      <c r="D36" t="s">
        <v>16</v>
      </c>
      <c r="E36" t="s">
        <v>42</v>
      </c>
      <c r="F36" t="s">
        <v>43</v>
      </c>
      <c r="G36" t="s">
        <v>74</v>
      </c>
      <c r="H36" t="s">
        <v>161</v>
      </c>
      <c r="I36">
        <v>12</v>
      </c>
      <c r="J36" t="s">
        <v>236</v>
      </c>
      <c r="S36">
        <v>0</v>
      </c>
      <c r="T36">
        <v>1</v>
      </c>
      <c r="U36">
        <v>1</v>
      </c>
      <c r="V36">
        <v>1</v>
      </c>
      <c r="W36">
        <v>0</v>
      </c>
      <c r="X36">
        <v>0</v>
      </c>
      <c r="Y36">
        <v>0</v>
      </c>
      <c r="Z36">
        <v>2</v>
      </c>
      <c r="AA36">
        <v>4</v>
      </c>
      <c r="AB36">
        <v>1</v>
      </c>
      <c r="AC36">
        <v>2</v>
      </c>
      <c r="AD36">
        <v>0</v>
      </c>
      <c r="AE36">
        <v>0</v>
      </c>
      <c r="AF36">
        <v>0</v>
      </c>
      <c r="CE36">
        <v>0</v>
      </c>
    </row>
    <row r="37" spans="1:83" x14ac:dyDescent="0.25">
      <c r="A37" t="s">
        <v>237</v>
      </c>
      <c r="B37" t="s">
        <v>238</v>
      </c>
      <c r="C37" t="s">
        <v>79</v>
      </c>
      <c r="D37" t="s">
        <v>50</v>
      </c>
      <c r="E37" t="s">
        <v>147</v>
      </c>
      <c r="F37" t="s">
        <v>148</v>
      </c>
      <c r="G37" t="s">
        <v>44</v>
      </c>
      <c r="H37" t="s">
        <v>239</v>
      </c>
      <c r="I37">
        <v>19</v>
      </c>
      <c r="J37" t="s">
        <v>240</v>
      </c>
      <c r="AA37">
        <v>0</v>
      </c>
      <c r="AB37">
        <v>1</v>
      </c>
      <c r="AC37">
        <v>0</v>
      </c>
      <c r="AD37">
        <v>6</v>
      </c>
      <c r="AE37">
        <v>0</v>
      </c>
      <c r="AF37">
        <v>4</v>
      </c>
      <c r="AG37">
        <v>2</v>
      </c>
      <c r="AH37">
        <v>2</v>
      </c>
      <c r="AI37">
        <v>4</v>
      </c>
      <c r="AJ37">
        <v>0</v>
      </c>
      <c r="AK37">
        <v>0</v>
      </c>
      <c r="AM37">
        <v>0</v>
      </c>
      <c r="CE37">
        <v>0</v>
      </c>
    </row>
    <row r="38" spans="1:83" x14ac:dyDescent="0.25">
      <c r="A38" t="s">
        <v>241</v>
      </c>
      <c r="B38" t="s">
        <v>242</v>
      </c>
      <c r="C38" t="s">
        <v>41</v>
      </c>
      <c r="D38" t="s">
        <v>50</v>
      </c>
      <c r="E38" t="s">
        <v>42</v>
      </c>
      <c r="F38" t="s">
        <v>43</v>
      </c>
      <c r="G38" t="s">
        <v>74</v>
      </c>
      <c r="H38" t="s">
        <v>243</v>
      </c>
      <c r="I38">
        <v>21</v>
      </c>
      <c r="J38" t="s">
        <v>244</v>
      </c>
      <c r="AA38">
        <v>0</v>
      </c>
      <c r="AB38">
        <v>0</v>
      </c>
      <c r="AC38">
        <v>0</v>
      </c>
      <c r="AD38">
        <v>6</v>
      </c>
      <c r="AE38">
        <v>2</v>
      </c>
      <c r="AF38">
        <v>1</v>
      </c>
      <c r="AG38">
        <v>1</v>
      </c>
      <c r="AH38">
        <v>2</v>
      </c>
      <c r="AI38">
        <v>0</v>
      </c>
      <c r="AJ38">
        <v>0</v>
      </c>
      <c r="AK38">
        <v>9</v>
      </c>
      <c r="AM38">
        <v>0</v>
      </c>
      <c r="CE38">
        <v>0</v>
      </c>
    </row>
    <row r="39" spans="1:83" x14ac:dyDescent="0.25">
      <c r="A39" t="s">
        <v>247</v>
      </c>
      <c r="B39" t="s">
        <v>248</v>
      </c>
      <c r="C39" t="s">
        <v>249</v>
      </c>
      <c r="D39" t="s">
        <v>16</v>
      </c>
      <c r="E39" t="s">
        <v>250</v>
      </c>
      <c r="F39" t="s">
        <v>251</v>
      </c>
      <c r="G39" t="s">
        <v>252</v>
      </c>
      <c r="H39" t="s">
        <v>253</v>
      </c>
      <c r="I39">
        <v>106</v>
      </c>
      <c r="J39" t="s">
        <v>254</v>
      </c>
      <c r="K39" t="s">
        <v>21</v>
      </c>
      <c r="U39">
        <v>2</v>
      </c>
      <c r="V39">
        <v>2</v>
      </c>
      <c r="W39">
        <v>20</v>
      </c>
      <c r="X39">
        <v>20</v>
      </c>
      <c r="Y39">
        <v>5</v>
      </c>
      <c r="Z39">
        <v>0</v>
      </c>
      <c r="AA39">
        <v>13</v>
      </c>
      <c r="AB39">
        <v>9</v>
      </c>
      <c r="AC39">
        <v>2</v>
      </c>
      <c r="AD39">
        <v>2</v>
      </c>
      <c r="AE39">
        <v>25</v>
      </c>
      <c r="AF39">
        <v>2</v>
      </c>
      <c r="AG39">
        <v>4</v>
      </c>
      <c r="AH39">
        <v>0</v>
      </c>
      <c r="AI39">
        <v>0</v>
      </c>
      <c r="CE39">
        <v>0</v>
      </c>
    </row>
    <row r="40" spans="1:83" x14ac:dyDescent="0.25">
      <c r="A40" t="s">
        <v>255</v>
      </c>
      <c r="B40" t="s">
        <v>256</v>
      </c>
      <c r="C40" t="s">
        <v>15</v>
      </c>
      <c r="D40" t="s">
        <v>50</v>
      </c>
      <c r="E40" t="s">
        <v>257</v>
      </c>
      <c r="F40" t="s">
        <v>258</v>
      </c>
      <c r="G40" t="s">
        <v>259</v>
      </c>
      <c r="H40" t="s">
        <v>260</v>
      </c>
      <c r="I40">
        <v>19</v>
      </c>
      <c r="J40" t="s">
        <v>261</v>
      </c>
      <c r="Y40">
        <v>0</v>
      </c>
      <c r="Z40">
        <v>0</v>
      </c>
      <c r="AA40">
        <v>0</v>
      </c>
      <c r="AB40">
        <v>1</v>
      </c>
      <c r="AC40">
        <v>0</v>
      </c>
      <c r="AD40">
        <v>1</v>
      </c>
      <c r="AE40">
        <v>1</v>
      </c>
      <c r="AF40">
        <v>3</v>
      </c>
      <c r="AG40">
        <v>4</v>
      </c>
      <c r="AH40">
        <v>2</v>
      </c>
      <c r="AI40">
        <v>1</v>
      </c>
      <c r="AJ40">
        <v>3</v>
      </c>
      <c r="AK40">
        <v>0</v>
      </c>
      <c r="AM40">
        <v>3</v>
      </c>
      <c r="CE40">
        <v>0</v>
      </c>
    </row>
  </sheetData>
  <phoneticPr fontId="15" type="noConversion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yncFromSupabase">
                <anchor moveWithCells="1" sizeWithCells="1">
                  <from>
                    <xdr:col>1</xdr:col>
                    <xdr:colOff>581025</xdr:colOff>
                    <xdr:row>0</xdr:row>
                    <xdr:rowOff>0</xdr:rowOff>
                  </from>
                  <to>
                    <xdr:col>1</xdr:col>
                    <xdr:colOff>1790700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91D78-596A-4BEA-8A58-B8B041B859AB}">
  <sheetPr codeName="Sheet3">
    <pageSetUpPr fitToPage="1"/>
  </sheetPr>
  <dimension ref="A1:M25"/>
  <sheetViews>
    <sheetView tabSelected="1" view="pageBreakPreview" topLeftCell="A15" zoomScaleNormal="115" zoomScaleSheetLayoutView="100" workbookViewId="0">
      <selection activeCell="B5" sqref="B5:C5"/>
    </sheetView>
  </sheetViews>
  <sheetFormatPr defaultRowHeight="18.75" x14ac:dyDescent="0.3"/>
  <cols>
    <col min="1" max="1" width="16.5703125" style="4" customWidth="1"/>
    <col min="2" max="2" width="30.7109375" customWidth="1"/>
    <col min="3" max="3" width="23.5703125" customWidth="1"/>
    <col min="4" max="4" width="26.7109375" customWidth="1"/>
    <col min="5" max="5" width="17.42578125" customWidth="1"/>
    <col min="6" max="6" width="15.5703125" customWidth="1"/>
  </cols>
  <sheetData>
    <row r="1" spans="1:13" ht="50.1" customHeight="1" x14ac:dyDescent="0.3">
      <c r="A1" s="25" t="s">
        <v>99</v>
      </c>
      <c r="B1" s="26"/>
      <c r="C1" s="26"/>
      <c r="D1" s="26"/>
      <c r="E1" s="27" t="s">
        <v>278</v>
      </c>
      <c r="F1" s="28"/>
    </row>
    <row r="2" spans="1:13" ht="35.1" customHeight="1" x14ac:dyDescent="0.25">
      <c r="A2" s="2" t="s">
        <v>100</v>
      </c>
      <c r="B2" s="8" t="s">
        <v>247</v>
      </c>
      <c r="C2" s="1" t="s">
        <v>101</v>
      </c>
      <c r="D2" s="5" t="s">
        <v>250</v>
      </c>
      <c r="E2" s="1" t="s">
        <v>102</v>
      </c>
      <c r="F2" s="9" t="s">
        <v>265</v>
      </c>
    </row>
    <row r="3" spans="1:13" ht="35.1" customHeight="1" x14ac:dyDescent="0.25">
      <c r="A3" s="2" t="s">
        <v>103</v>
      </c>
      <c r="B3" s="7" t="s">
        <v>253</v>
      </c>
      <c r="C3" s="1" t="s">
        <v>104</v>
      </c>
      <c r="D3" s="11" t="s">
        <v>16</v>
      </c>
      <c r="E3" s="1" t="s">
        <v>105</v>
      </c>
      <c r="F3" s="9" t="s">
        <v>263</v>
      </c>
    </row>
    <row r="4" spans="1:13" ht="35.1" customHeight="1" x14ac:dyDescent="0.25">
      <c r="A4" s="2" t="s">
        <v>106</v>
      </c>
      <c r="B4" s="24" t="s">
        <v>249</v>
      </c>
      <c r="C4" s="24"/>
      <c r="D4" s="24"/>
      <c r="E4" s="1" t="s">
        <v>107</v>
      </c>
      <c r="F4" s="9">
        <v>2</v>
      </c>
      <c r="M4" s="6"/>
    </row>
    <row r="5" spans="1:13" ht="50.1" customHeight="1" thickBot="1" x14ac:dyDescent="0.3">
      <c r="A5" s="3" t="s">
        <v>108</v>
      </c>
      <c r="B5" s="29"/>
      <c r="C5" s="30"/>
      <c r="D5" s="12" t="s">
        <v>109</v>
      </c>
      <c r="E5" s="29" t="s">
        <v>252</v>
      </c>
      <c r="F5" s="31"/>
      <c r="M5" s="6"/>
    </row>
    <row r="6" spans="1:13" ht="50.1" customHeight="1" x14ac:dyDescent="0.3">
      <c r="A6" s="25" t="s">
        <v>99</v>
      </c>
      <c r="B6" s="26"/>
      <c r="C6" s="26"/>
      <c r="D6" s="26"/>
      <c r="E6" s="27" t="str">
        <f>E1</f>
        <v>Giam Size</v>
      </c>
      <c r="F6" s="28"/>
    </row>
    <row r="7" spans="1:13" ht="35.1" customHeight="1" x14ac:dyDescent="0.25">
      <c r="A7" s="2" t="s">
        <v>100</v>
      </c>
      <c r="B7" s="8" t="str">
        <f>B2</f>
        <v>RPRO-250724-0148</v>
      </c>
      <c r="C7" s="1" t="s">
        <v>101</v>
      </c>
      <c r="D7" s="5" t="str">
        <f>D2</f>
        <v>OI-0023</v>
      </c>
      <c r="E7" s="1" t="s">
        <v>102</v>
      </c>
      <c r="F7" s="9" t="s">
        <v>266</v>
      </c>
    </row>
    <row r="8" spans="1:13" ht="35.1" customHeight="1" x14ac:dyDescent="0.25">
      <c r="A8" s="2" t="s">
        <v>103</v>
      </c>
      <c r="B8" s="7" t="str">
        <f>B3</f>
        <v>OI-000076</v>
      </c>
      <c r="C8" s="1" t="s">
        <v>104</v>
      </c>
      <c r="D8" s="11" t="str">
        <f>D3</f>
        <v>Women's</v>
      </c>
      <c r="E8" s="1" t="s">
        <v>105</v>
      </c>
      <c r="F8" s="9" t="s">
        <v>264</v>
      </c>
    </row>
    <row r="9" spans="1:13" ht="35.1" customHeight="1" x14ac:dyDescent="0.25">
      <c r="A9" s="2" t="s">
        <v>106</v>
      </c>
      <c r="B9" s="24" t="str">
        <f>B4</f>
        <v>PT. TKG TAE KWANG INDONESIA</v>
      </c>
      <c r="C9" s="24"/>
      <c r="D9" s="24"/>
      <c r="E9" s="1" t="s">
        <v>107</v>
      </c>
      <c r="F9" s="9">
        <v>4</v>
      </c>
    </row>
    <row r="10" spans="1:13" ht="50.1" customHeight="1" thickBot="1" x14ac:dyDescent="0.3">
      <c r="A10" s="3" t="s">
        <v>108</v>
      </c>
      <c r="B10" s="30">
        <f>B5</f>
        <v>0</v>
      </c>
      <c r="C10" s="30"/>
      <c r="D10" s="12" t="s">
        <v>109</v>
      </c>
      <c r="E10" s="29" t="str">
        <f>E5</f>
        <v>00A (PP)LINING,KNIT,MATTE,FLAT (FRESNO),REC-RYP 44" 210G</v>
      </c>
      <c r="F10" s="31"/>
    </row>
    <row r="11" spans="1:13" ht="50.1" customHeight="1" x14ac:dyDescent="0.3">
      <c r="A11" s="25" t="s">
        <v>99</v>
      </c>
      <c r="B11" s="26"/>
      <c r="C11" s="26"/>
      <c r="D11" s="26"/>
      <c r="E11" s="27" t="str">
        <f>E6</f>
        <v>Giam Size</v>
      </c>
      <c r="F11" s="28"/>
    </row>
    <row r="12" spans="1:13" ht="35.1" customHeight="1" x14ac:dyDescent="0.25">
      <c r="A12" s="2" t="s">
        <v>100</v>
      </c>
      <c r="B12" s="8" t="str">
        <f>B7</f>
        <v>RPRO-250724-0148</v>
      </c>
      <c r="C12" s="1" t="s">
        <v>101</v>
      </c>
      <c r="D12" s="5" t="str">
        <f>D7</f>
        <v>OI-0023</v>
      </c>
      <c r="E12" s="1" t="s">
        <v>102</v>
      </c>
      <c r="F12" s="9"/>
    </row>
    <row r="13" spans="1:13" ht="35.1" customHeight="1" x14ac:dyDescent="0.25">
      <c r="A13" s="2" t="s">
        <v>110</v>
      </c>
      <c r="B13" s="7" t="str">
        <f>B8</f>
        <v>OI-000076</v>
      </c>
      <c r="C13" s="1" t="s">
        <v>104</v>
      </c>
      <c r="D13" s="11" t="str">
        <f>D8</f>
        <v>Women's</v>
      </c>
      <c r="E13" s="1" t="s">
        <v>105</v>
      </c>
      <c r="F13" s="9"/>
    </row>
    <row r="14" spans="1:13" ht="35.1" customHeight="1" x14ac:dyDescent="0.25">
      <c r="A14" s="2" t="s">
        <v>106</v>
      </c>
      <c r="B14" s="24" t="str">
        <f>B9</f>
        <v>PT. TKG TAE KWANG INDONESIA</v>
      </c>
      <c r="C14" s="24"/>
      <c r="D14" s="24"/>
      <c r="E14" s="1" t="s">
        <v>107</v>
      </c>
      <c r="F14" s="9"/>
    </row>
    <row r="15" spans="1:13" ht="50.1" customHeight="1" thickBot="1" x14ac:dyDescent="0.3">
      <c r="A15" s="3" t="s">
        <v>108</v>
      </c>
      <c r="B15" s="30">
        <f>B10</f>
        <v>0</v>
      </c>
      <c r="C15" s="30"/>
      <c r="D15" s="12" t="s">
        <v>109</v>
      </c>
      <c r="E15" s="29" t="str">
        <f>E10</f>
        <v>00A (PP)LINING,KNIT,MATTE,FLAT (FRESNO),REC-RYP 44" 210G</v>
      </c>
      <c r="F15" s="31"/>
    </row>
    <row r="16" spans="1:13" ht="50.1" customHeight="1" x14ac:dyDescent="0.3">
      <c r="A16" s="25" t="s">
        <v>99</v>
      </c>
      <c r="B16" s="26"/>
      <c r="C16" s="26"/>
      <c r="D16" s="26"/>
      <c r="E16" s="27" t="str">
        <f>E11</f>
        <v>Giam Size</v>
      </c>
      <c r="F16" s="28"/>
    </row>
    <row r="17" spans="1:6" ht="35.1" customHeight="1" x14ac:dyDescent="0.25">
      <c r="A17" s="2" t="s">
        <v>100</v>
      </c>
      <c r="B17" s="8" t="str">
        <f>B12</f>
        <v>RPRO-250724-0148</v>
      </c>
      <c r="C17" s="1" t="s">
        <v>101</v>
      </c>
      <c r="D17" s="5" t="str">
        <f>D12</f>
        <v>OI-0023</v>
      </c>
      <c r="E17" s="1" t="s">
        <v>102</v>
      </c>
      <c r="F17" s="9"/>
    </row>
    <row r="18" spans="1:6" ht="35.1" customHeight="1" x14ac:dyDescent="0.25">
      <c r="A18" s="2" t="s">
        <v>110</v>
      </c>
      <c r="B18" s="7" t="str">
        <f>B13</f>
        <v>OI-000076</v>
      </c>
      <c r="C18" s="1" t="s">
        <v>104</v>
      </c>
      <c r="D18" s="11" t="str">
        <f>D13</f>
        <v>Women's</v>
      </c>
      <c r="E18" s="1" t="s">
        <v>105</v>
      </c>
      <c r="F18" s="9"/>
    </row>
    <row r="19" spans="1:6" ht="35.1" customHeight="1" x14ac:dyDescent="0.25">
      <c r="A19" s="2" t="s">
        <v>106</v>
      </c>
      <c r="B19" s="24" t="str">
        <f>B14</f>
        <v>PT. TKG TAE KWANG INDONESIA</v>
      </c>
      <c r="C19" s="24"/>
      <c r="D19" s="24"/>
      <c r="E19" s="1" t="s">
        <v>107</v>
      </c>
      <c r="F19" s="9"/>
    </row>
    <row r="20" spans="1:6" ht="50.1" customHeight="1" thickBot="1" x14ac:dyDescent="0.3">
      <c r="A20" s="3" t="s">
        <v>108</v>
      </c>
      <c r="B20" s="30">
        <f>B15</f>
        <v>0</v>
      </c>
      <c r="C20" s="30"/>
      <c r="D20" s="12" t="s">
        <v>109</v>
      </c>
      <c r="E20" s="29" t="str">
        <f>E15</f>
        <v>00A (PP)LINING,KNIT,MATTE,FLAT (FRESNO),REC-RYP 44" 210G</v>
      </c>
      <c r="F20" s="31"/>
    </row>
    <row r="21" spans="1:6" ht="50.1" customHeight="1" x14ac:dyDescent="0.3">
      <c r="A21" s="25" t="s">
        <v>99</v>
      </c>
      <c r="B21" s="26"/>
      <c r="C21" s="26"/>
      <c r="D21" s="26"/>
      <c r="E21" s="27" t="str">
        <f>E16</f>
        <v>Giam Size</v>
      </c>
      <c r="F21" s="28"/>
    </row>
    <row r="22" spans="1:6" ht="35.1" customHeight="1" x14ac:dyDescent="0.25">
      <c r="A22" s="2" t="s">
        <v>100</v>
      </c>
      <c r="B22" s="8" t="str">
        <f>B17</f>
        <v>RPRO-250724-0148</v>
      </c>
      <c r="C22" s="1" t="s">
        <v>101</v>
      </c>
      <c r="D22" s="5" t="str">
        <f>D17</f>
        <v>OI-0023</v>
      </c>
      <c r="E22" s="1" t="s">
        <v>102</v>
      </c>
      <c r="F22" s="9"/>
    </row>
    <row r="23" spans="1:6" ht="35.1" customHeight="1" x14ac:dyDescent="0.25">
      <c r="A23" s="2" t="s">
        <v>110</v>
      </c>
      <c r="B23" s="7" t="str">
        <f>B18</f>
        <v>OI-000076</v>
      </c>
      <c r="C23" s="1" t="s">
        <v>104</v>
      </c>
      <c r="D23" s="11" t="str">
        <f>D18</f>
        <v>Women's</v>
      </c>
      <c r="E23" s="1" t="s">
        <v>105</v>
      </c>
      <c r="F23" s="9"/>
    </row>
    <row r="24" spans="1:6" ht="35.1" customHeight="1" x14ac:dyDescent="0.25">
      <c r="A24" s="2" t="s">
        <v>106</v>
      </c>
      <c r="B24" s="24" t="str">
        <f>B19</f>
        <v>PT. TKG TAE KWANG INDONESIA</v>
      </c>
      <c r="C24" s="24"/>
      <c r="D24" s="24"/>
      <c r="E24" s="1" t="s">
        <v>107</v>
      </c>
      <c r="F24" s="9"/>
    </row>
    <row r="25" spans="1:6" ht="50.1" customHeight="1" thickBot="1" x14ac:dyDescent="0.3">
      <c r="A25" s="3" t="s">
        <v>108</v>
      </c>
      <c r="B25" s="30">
        <f>B20</f>
        <v>0</v>
      </c>
      <c r="C25" s="30"/>
      <c r="D25" s="12" t="s">
        <v>109</v>
      </c>
      <c r="E25" s="29" t="str">
        <f>E20</f>
        <v>00A (PP)LINING,KNIT,MATTE,FLAT (FRESNO),REC-RYP 44" 210G</v>
      </c>
      <c r="F25" s="31"/>
    </row>
  </sheetData>
  <mergeCells count="25">
    <mergeCell ref="B25:C25"/>
    <mergeCell ref="E25:F25"/>
    <mergeCell ref="B24:D24"/>
    <mergeCell ref="E21:F21"/>
    <mergeCell ref="A21:D21"/>
    <mergeCell ref="E20:F20"/>
    <mergeCell ref="B20:C20"/>
    <mergeCell ref="E15:F15"/>
    <mergeCell ref="E16:F16"/>
    <mergeCell ref="B19:D19"/>
    <mergeCell ref="B15:C15"/>
    <mergeCell ref="B4:D4"/>
    <mergeCell ref="B9:D9"/>
    <mergeCell ref="A1:D1"/>
    <mergeCell ref="A16:D16"/>
    <mergeCell ref="E1:F1"/>
    <mergeCell ref="A6:D6"/>
    <mergeCell ref="E6:F6"/>
    <mergeCell ref="A11:D11"/>
    <mergeCell ref="E11:F11"/>
    <mergeCell ref="B5:C5"/>
    <mergeCell ref="E5:F5"/>
    <mergeCell ref="B10:C10"/>
    <mergeCell ref="E10:F10"/>
    <mergeCell ref="B14:D14"/>
  </mergeCells>
  <pageMargins left="0" right="0" top="0" bottom="0.01" header="0.1" footer="0.1"/>
  <pageSetup paperSize="9" scale="77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F5B7-05B6-4BFD-B0B5-7D14B4C2AC99}">
  <sheetPr codeName="Sheet2"/>
  <dimension ref="A1:F37"/>
  <sheetViews>
    <sheetView view="pageBreakPreview" zoomScale="60" zoomScaleNormal="100" workbookViewId="0">
      <selection activeCell="C7" sqref="C7:C12"/>
    </sheetView>
  </sheetViews>
  <sheetFormatPr defaultRowHeight="15" x14ac:dyDescent="0.25"/>
  <cols>
    <col min="1" max="1" width="21.7109375" customWidth="1"/>
    <col min="2" max="2" width="31.85546875" customWidth="1"/>
    <col min="3" max="3" width="24" customWidth="1"/>
    <col min="4" max="4" width="21.85546875" customWidth="1"/>
  </cols>
  <sheetData>
    <row r="1" spans="1:4" ht="54" customHeight="1" x14ac:dyDescent="0.25">
      <c r="A1" s="32" t="s">
        <v>111</v>
      </c>
      <c r="B1" s="32"/>
      <c r="C1" s="32"/>
      <c r="D1" s="32"/>
    </row>
    <row r="2" spans="1:4" ht="37.5" customHeight="1" x14ac:dyDescent="0.25">
      <c r="A2" s="17" t="s">
        <v>112</v>
      </c>
      <c r="B2" s="14" t="s">
        <v>247</v>
      </c>
      <c r="C2" s="17" t="s">
        <v>103</v>
      </c>
      <c r="D2" s="14" t="s">
        <v>253</v>
      </c>
    </row>
    <row r="3" spans="1:4" ht="24" customHeight="1" x14ac:dyDescent="0.25">
      <c r="A3" s="17" t="s">
        <v>113</v>
      </c>
      <c r="B3" s="14" t="s">
        <v>248</v>
      </c>
      <c r="C3" s="17" t="s">
        <v>114</v>
      </c>
      <c r="D3" s="14" t="s">
        <v>250</v>
      </c>
    </row>
    <row r="4" spans="1:4" ht="72.75" customHeight="1" x14ac:dyDescent="0.25">
      <c r="A4" s="18" t="s">
        <v>115</v>
      </c>
      <c r="B4" s="19" t="s">
        <v>249</v>
      </c>
      <c r="C4" s="18" t="s">
        <v>116</v>
      </c>
      <c r="D4" s="19" t="s">
        <v>252</v>
      </c>
    </row>
    <row r="5" spans="1:4" ht="24" customHeight="1" x14ac:dyDescent="0.25">
      <c r="A5" s="17" t="s">
        <v>117</v>
      </c>
      <c r="B5" s="23"/>
      <c r="C5" s="20"/>
      <c r="D5" s="20"/>
    </row>
    <row r="6" spans="1:4" ht="28.5" customHeight="1" x14ac:dyDescent="0.25">
      <c r="A6" s="17" t="s">
        <v>118</v>
      </c>
      <c r="B6" s="17" t="s">
        <v>119</v>
      </c>
      <c r="C6" s="17" t="s">
        <v>120</v>
      </c>
      <c r="D6" s="21">
        <v>106</v>
      </c>
    </row>
    <row r="7" spans="1:4" ht="24.95" customHeight="1" x14ac:dyDescent="0.25">
      <c r="A7" s="16" t="s">
        <v>267</v>
      </c>
      <c r="B7" s="16" t="s">
        <v>268</v>
      </c>
      <c r="C7" s="22">
        <v>2</v>
      </c>
      <c r="D7" s="16"/>
    </row>
    <row r="8" spans="1:4" ht="24.95" customHeight="1" x14ac:dyDescent="0.25">
      <c r="A8" s="16" t="s">
        <v>269</v>
      </c>
      <c r="B8" s="16" t="s">
        <v>270</v>
      </c>
      <c r="C8" s="22">
        <v>2</v>
      </c>
      <c r="D8" s="16"/>
    </row>
    <row r="9" spans="1:4" ht="24.95" customHeight="1" x14ac:dyDescent="0.25">
      <c r="A9" s="16" t="s">
        <v>271</v>
      </c>
      <c r="B9" s="16" t="s">
        <v>272</v>
      </c>
      <c r="C9" s="22">
        <v>20</v>
      </c>
      <c r="D9" s="16"/>
    </row>
    <row r="10" spans="1:4" ht="24.95" customHeight="1" x14ac:dyDescent="0.25">
      <c r="A10" s="16" t="s">
        <v>274</v>
      </c>
      <c r="B10" s="16" t="s">
        <v>267</v>
      </c>
      <c r="C10" s="22">
        <v>20</v>
      </c>
      <c r="D10" s="16"/>
    </row>
    <row r="11" spans="1:4" ht="24.95" customHeight="1" x14ac:dyDescent="0.25">
      <c r="A11" s="16" t="s">
        <v>275</v>
      </c>
      <c r="B11" s="16" t="s">
        <v>269</v>
      </c>
      <c r="C11" s="22">
        <v>5</v>
      </c>
      <c r="D11" s="16"/>
    </row>
    <row r="12" spans="1:4" ht="24.95" customHeight="1" x14ac:dyDescent="0.25">
      <c r="A12" s="16" t="s">
        <v>273</v>
      </c>
      <c r="B12" s="16" t="s">
        <v>274</v>
      </c>
      <c r="C12" s="22">
        <v>13</v>
      </c>
      <c r="D12" s="16"/>
    </row>
    <row r="13" spans="1:4" ht="24.95" customHeight="1" x14ac:dyDescent="0.25">
      <c r="A13" s="16" t="s">
        <v>262</v>
      </c>
      <c r="B13" s="16" t="s">
        <v>275</v>
      </c>
      <c r="C13" s="22">
        <v>9</v>
      </c>
      <c r="D13" s="16"/>
    </row>
    <row r="14" spans="1:4" ht="24.95" customHeight="1" x14ac:dyDescent="0.25">
      <c r="A14" s="16" t="s">
        <v>276</v>
      </c>
      <c r="B14" s="16" t="s">
        <v>277</v>
      </c>
      <c r="C14" s="22">
        <v>2</v>
      </c>
      <c r="D14" s="16"/>
    </row>
    <row r="15" spans="1:4" ht="24.95" customHeight="1" x14ac:dyDescent="0.25">
      <c r="A15" s="16" t="s">
        <v>203</v>
      </c>
      <c r="B15" s="16" t="s">
        <v>273</v>
      </c>
      <c r="C15" s="22">
        <v>2</v>
      </c>
      <c r="D15" s="16"/>
    </row>
    <row r="16" spans="1:4" ht="24.95" customHeight="1" x14ac:dyDescent="0.25">
      <c r="A16" s="16" t="s">
        <v>194</v>
      </c>
      <c r="B16" s="16" t="s">
        <v>262</v>
      </c>
      <c r="C16" s="22">
        <v>25</v>
      </c>
      <c r="D16" s="16"/>
    </row>
    <row r="17" spans="1:6" ht="24.95" customHeight="1" x14ac:dyDescent="0.25">
      <c r="A17" s="16" t="s">
        <v>245</v>
      </c>
      <c r="B17" s="16" t="s">
        <v>276</v>
      </c>
      <c r="C17" s="22">
        <v>2</v>
      </c>
      <c r="D17" s="16"/>
    </row>
    <row r="18" spans="1:6" ht="24.95" customHeight="1" x14ac:dyDescent="0.25">
      <c r="A18" s="16" t="s">
        <v>246</v>
      </c>
      <c r="B18" s="16" t="s">
        <v>203</v>
      </c>
      <c r="C18" s="22">
        <v>4</v>
      </c>
      <c r="D18" s="16"/>
    </row>
    <row r="19" spans="1:6" ht="24.95" customHeight="1" x14ac:dyDescent="0.25">
      <c r="A19" s="16"/>
      <c r="B19" s="16"/>
      <c r="C19" s="22"/>
      <c r="D19" s="16"/>
    </row>
    <row r="20" spans="1:6" ht="24.95" customHeight="1" x14ac:dyDescent="0.25">
      <c r="A20" s="16"/>
      <c r="B20" s="16"/>
      <c r="C20" s="22"/>
      <c r="D20" s="16"/>
    </row>
    <row r="21" spans="1:6" ht="24.95" customHeight="1" x14ac:dyDescent="0.25">
      <c r="A21" s="16"/>
      <c r="B21" s="16"/>
      <c r="C21" s="22"/>
      <c r="D21" s="16"/>
    </row>
    <row r="22" spans="1:6" ht="24.95" customHeight="1" x14ac:dyDescent="0.25">
      <c r="A22" s="16"/>
      <c r="B22" s="16"/>
      <c r="C22" s="22"/>
      <c r="D22" s="16"/>
      <c r="F22" s="13"/>
    </row>
    <row r="23" spans="1:6" ht="24.95" customHeight="1" x14ac:dyDescent="0.25">
      <c r="A23" s="16"/>
      <c r="B23" s="16"/>
      <c r="C23" s="22"/>
      <c r="D23" s="16"/>
    </row>
    <row r="24" spans="1:6" ht="24.95" customHeight="1" x14ac:dyDescent="0.25">
      <c r="A24" s="16"/>
      <c r="B24" s="16"/>
      <c r="C24" s="22"/>
      <c r="D24" s="16"/>
    </row>
    <row r="25" spans="1:6" ht="24.95" customHeight="1" x14ac:dyDescent="0.25">
      <c r="A25" s="16"/>
      <c r="B25" s="16"/>
      <c r="C25" s="22"/>
      <c r="D25" s="16"/>
    </row>
    <row r="26" spans="1:6" ht="24.95" customHeight="1" x14ac:dyDescent="0.25">
      <c r="A26" s="16"/>
      <c r="B26" s="16"/>
      <c r="C26" s="22"/>
      <c r="D26" s="16"/>
    </row>
    <row r="27" spans="1:6" ht="24.95" customHeight="1" x14ac:dyDescent="0.25">
      <c r="A27" s="16"/>
      <c r="B27" s="16"/>
      <c r="C27" s="22"/>
      <c r="D27" s="16"/>
    </row>
    <row r="28" spans="1:6" ht="24.95" customHeight="1" x14ac:dyDescent="0.25">
      <c r="A28" s="16"/>
      <c r="B28" s="16"/>
      <c r="C28" s="22"/>
      <c r="D28" s="16"/>
    </row>
    <row r="29" spans="1:6" ht="24.95" customHeight="1" x14ac:dyDescent="0.25">
      <c r="A29" s="16"/>
      <c r="B29" s="16"/>
      <c r="C29" s="22"/>
      <c r="D29" s="16"/>
    </row>
    <row r="30" spans="1:6" ht="24.95" customHeight="1" x14ac:dyDescent="0.25">
      <c r="A30" s="16"/>
      <c r="B30" s="16"/>
      <c r="C30" s="22"/>
      <c r="D30" s="16"/>
    </row>
    <row r="31" spans="1:6" ht="24.95" customHeight="1" x14ac:dyDescent="0.25">
      <c r="A31" s="15"/>
      <c r="B31" s="15"/>
      <c r="C31" s="15"/>
      <c r="D31" s="15"/>
    </row>
    <row r="32" spans="1:6" ht="24.95" customHeight="1" x14ac:dyDescent="0.25">
      <c r="A32" s="15"/>
      <c r="B32" s="15"/>
      <c r="C32" s="15"/>
      <c r="D32" s="15"/>
    </row>
    <row r="33" spans="1:4" ht="24.95" customHeight="1" x14ac:dyDescent="0.25">
      <c r="A33" s="15"/>
      <c r="B33" s="15"/>
      <c r="C33" s="15"/>
      <c r="D33" s="15"/>
    </row>
    <row r="34" spans="1:4" ht="24.95" customHeight="1" x14ac:dyDescent="0.25">
      <c r="A34" s="15"/>
      <c r="B34" s="15"/>
      <c r="C34" s="15"/>
      <c r="D34" s="15"/>
    </row>
    <row r="35" spans="1:4" ht="24.95" customHeight="1" x14ac:dyDescent="0.25">
      <c r="A35" s="15"/>
      <c r="B35" s="15"/>
      <c r="C35" s="15"/>
      <c r="D35" s="15"/>
    </row>
    <row r="36" spans="1:4" ht="24.95" customHeight="1" x14ac:dyDescent="0.25">
      <c r="A36" s="15"/>
      <c r="B36" s="15"/>
      <c r="C36" s="15"/>
      <c r="D36" s="15"/>
    </row>
    <row r="37" spans="1:4" ht="24.95" customHeight="1" x14ac:dyDescent="0.25">
      <c r="A37" s="15"/>
      <c r="B37" s="15"/>
      <c r="C37" s="15"/>
      <c r="D37" s="15"/>
    </row>
  </sheetData>
  <mergeCells count="1">
    <mergeCell ref="A1:D1"/>
  </mergeCells>
  <pageMargins left="0.7" right="0.7" top="0.75" bottom="0.75" header="0.3" footer="0.3"/>
  <pageSetup paperSize="9" scale="88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A881C598A1DC4096D4B66B961FB704" ma:contentTypeVersion="20" ma:contentTypeDescription="Create a new document." ma:contentTypeScope="" ma:versionID="00a272c57818f5a2598402ed9b64a3e4">
  <xsd:schema xmlns:xsd="http://www.w3.org/2001/XMLSchema" xmlns:xs="http://www.w3.org/2001/XMLSchema" xmlns:p="http://schemas.microsoft.com/office/2006/metadata/properties" xmlns:ns2="b65cb79d-c821-4d3d-aab2-5ef15e9cc85e" xmlns:ns3="71b44b8b-5734-40bc-bcd6-983774da7c1c" targetNamespace="http://schemas.microsoft.com/office/2006/metadata/properties" ma:root="true" ma:fieldsID="cb7fe868ff501d2f097cc8d8c004abe7" ns2:_="" ns3:_="">
    <xsd:import namespace="b65cb79d-c821-4d3d-aab2-5ef15e9cc85e"/>
    <xsd:import namespace="71b44b8b-5734-40bc-bcd6-983774da7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5cb79d-c821-4d3d-aab2-5ef15e9cc8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05217ae-ff82-44d8-b406-a0bd577a6e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5" nillable="true" ma:displayName="Sign-off status" ma:internalName="Sign_x002d_off_x0020_status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b44b8b-5734-40bc-bcd6-983774da7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855bab7-e95a-48a3-80ae-693c629d5690}" ma:internalName="TaxCatchAll" ma:showField="CatchAllData" ma:web="71b44b8b-5734-40bc-bcd6-983774da7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65cb79d-c821-4d3d-aab2-5ef15e9cc85e">
      <Terms xmlns="http://schemas.microsoft.com/office/infopath/2007/PartnerControls"/>
    </lcf76f155ced4ddcb4097134ff3c332f>
    <_Flow_SignoffStatus xmlns="b65cb79d-c821-4d3d-aab2-5ef15e9cc85e" xsi:nil="true"/>
    <TaxCatchAll xmlns="71b44b8b-5734-40bc-bcd6-983774da7c1c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4746C48-D468-4D86-881E-9E86BB5921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5cb79d-c821-4d3d-aab2-5ef15e9cc85e"/>
    <ds:schemaRef ds:uri="71b44b8b-5734-40bc-bcd6-983774da7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2492B47-8714-4D09-8907-FE4A7F26E63B}">
  <ds:schemaRefs>
    <ds:schemaRef ds:uri="b65cb79d-c821-4d3d-aab2-5ef15e9cc85e"/>
    <ds:schemaRef ds:uri="71b44b8b-5734-40bc-bcd6-983774da7c1c"/>
    <ds:schemaRef ds:uri="http://purl.org/dc/elements/1.1/"/>
    <ds:schemaRef ds:uri="http://www.w3.org/XML/1998/namespace"/>
    <ds:schemaRef ds:uri="http://schemas.microsoft.com/office/2006/documentManagement/types"/>
    <ds:schemaRef ds:uri="http://purl.org/dc/terms/"/>
    <ds:schemaRef ds:uri="http://purl.org/dc/dcmitype/"/>
    <ds:schemaRef ds:uri="http://schemas.openxmlformats.org/package/2006/metadata/core-properties"/>
    <ds:schemaRef ds:uri="http://schemas.microsoft.com/office/infopath/2007/PartnerControls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AC75C88F-6041-40DB-85CE-614FA3B8D20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SYN</vt:lpstr>
      <vt:lpstr>TEMPLATE</vt:lpstr>
      <vt:lpstr>PhieuDD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Nhan Huynh - OVN Production Senior Staff</dc:creator>
  <cp:keywords/>
  <dc:description/>
  <cp:lastModifiedBy>Production Public</cp:lastModifiedBy>
  <cp:revision/>
  <cp:lastPrinted>2025-08-14T22:54:45Z</cp:lastPrinted>
  <dcterms:created xsi:type="dcterms:W3CDTF">2025-07-23T17:12:12Z</dcterms:created>
  <dcterms:modified xsi:type="dcterms:W3CDTF">2025-08-14T23:45:17Z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0x010100ABA881C598A1DC4096D4B66B961FB704</vt:lpwstr>
  </property>
  <property fmtid="{D5CDD505-2E9C-101B-9397-08002B2CF9AE}" pid="3" name="MediaServiceImageTags">
    <vt:lpwstr/>
  </property>
</Properties>
</file>