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17516" documentId="8_{BC9E03AF-875C-4F7B-B632-8C15CEE753D9}" xr6:coauthVersionLast="47" xr6:coauthVersionMax="47" xr10:uidLastSave="{B8BB08A4-F4D3-452A-BD34-0C58C1FAD794}"/>
  <bookViews>
    <workbookView xWindow="-120" yWindow="-120" windowWidth="20730" windowHeight="11040" activeTab="1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<sst xmlns="http://schemas.openxmlformats.org/spreadsheetml/2006/main" count="277" uniqueCount="160">
  <si>
    <t>rpro</t>
  </si>
  <si>
    <t>so</t>
  </si>
  <si>
    <t>customers</t>
  </si>
  <si>
    <t>gender</t>
  </si>
  <si>
    <t>mold</t>
  </si>
  <si>
    <t>tool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</si>
  <si>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</si>
  <si>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</si>
  <si>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</si>
  <si>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</si>
  <si>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</si>
  <si>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</si>
  <si>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</si>
  <si>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</si>
  <si>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</si>
  <si>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</si>
  <si>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</si>
  <si>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</si>
  <si>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11-007-W-MID (M-0148)</t>
  </si>
  <si>
    <t>14-4206TCX YH-S960 EPM5 (100% Recycled PET) 44'' 198G</t>
  </si>
  <si>
    <t>OV-007425</t>
  </si>
  <si>
    <t>Size fixed</t>
  </si>
  <si>
    <t>testtttt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</si>
  <si>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</si>
  <si>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</si>
  <si>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</si>
  <si>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</si>
  <si>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</si>
  <si>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</si>
  <si>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</si>
  <si>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</si>
  <si>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</si>
  <si>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</si>
  <si>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</si>
  <si>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</si>
  <si>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</si>
  <si>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</si>
  <si>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</si>
  <si>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</si>
  <si>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</si>
  <si>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</si>
  <si>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</si>
  <si>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</si>
  <si>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</si>
  <si>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</si>
  <si>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</si>
  <si>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</si>
  <si>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</si>
  <si>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</si>
  <si>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</si>
  <si>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</si>
  <si>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</si>
  <si>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</si>
  <si>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</si>
  <si>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</si>
  <si>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</si>
  <si>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</si>
  <si>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</si>
  <si>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</si>
  <si>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</si>
  <si>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</si>
  <si>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</si>
  <si>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</si>
  <si>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</si>
  <si>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</si>
  <si>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</si>
  <si>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</si>
  <si>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</si>
  <si>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</si>
  <si>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</si>
  <si>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</si>
  <si>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</si>
  <si>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</si>
  <si>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</si>
  <si>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</si>
  <si>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</si>
  <si>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</si>
  <si>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</si>
  <si>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</si>
  <si>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</si>
  <si>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</si>
  <si>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</si>
  <si>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</si>
  <si>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</si>
  <si>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</si>
  <si>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</si>
  <si>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</si>
  <si>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</si>
  <si>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</si>
  <si>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</si>
  <si>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</si>
  <si>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</si>
  <si>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</si>
  <si>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</si>
  <si>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</si>
  <si>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</si>
  <si>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</si>
  <si>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</si>
  <si>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</si>
  <si>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</si>
  <si>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</si>
  <si>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</si>
  <si>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</si>
  <si>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</si>
  <si>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</si>
  <si>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</si>
  <si>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</si>
  <si>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</si>
  <si>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</si>
  <si>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</si>
  <si>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</si>
  <si>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</si>
  <si>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</si>
  <si>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</si>
  <si>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</si>
  <si>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</si>
  <si>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</si>
  <si>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</si>
  <si>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</si>
  <si>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</si>
  <si>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</si>
  <si>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</si>
  <si>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</si>
  <si>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</si>
  <si>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</si>
  <si>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</si>
  <si>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</si>
  <si>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</si>
  <si>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</si>
  <si>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#9.5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</si>
  <si>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</si>
  <si>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</si>
  <si>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</si>
  <si>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</si>
  <si>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</si>
  <si>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</si>
  <si>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</si>
  <si>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</si>
  <si>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</si>
  <si>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</si>
  <si>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</si>
  <si>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</si>
  <si>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</si>
  <si>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</si>
  <si>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</si>
  <si>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</si>
  <si>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Không Giam Size</t>
  </si>
  <si>
    <t>6.5#</t>
  </si>
  <si>
    <t>8#</t>
  </si>
  <si>
    <t>9.5#</t>
  </si>
  <si>
    <t>#6.5</t>
  </si>
  <si>
    <t>#8</t>
  </si>
  <si>
    <t>RPRO-250728-0079</t>
  </si>
  <si>
    <t>SO-250725-0013</t>
  </si>
  <si>
    <t>OE-0656</t>
  </si>
  <si>
    <t>BP-104-3 (M-0131)</t>
  </si>
  <si>
    <t>OE-006296</t>
  </si>
  <si>
    <t>14-08-2025 18:48:58</t>
  </si>
  <si>
    <t>#8.5</t>
  </si>
  <si>
    <t>8.5#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</si>
</sst>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2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85725</xdr:rowOff>
    </xdr:from>
    <xdr:to>
      <xdr:col>5</xdr:col>
      <xdr:colOff>962025</xdr:colOff>
      <xdr:row>0</xdr:row>
      <xdr:rowOff>571557</xdr:rowOff>
    </xdr:to>
    <xdr:pic macro="[0]!Appearent">
      <xdr:nvPicPr>
        <xdr:cNvPr id="4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0075" y="85725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19"/>
  <sheetViews>
    <sheetView zoomScale="115" zoomScaleNormal="115" workbookViewId="0">
      <pane xSplit="1" ySplit="1" topLeftCell="S2" activePane="bottomRight" state="frozen"/>
      <selection pane="topRight" activeCell="B1" sqref="B1"/>
      <selection pane="bottomLeft" activeCell="A2" sqref="A2"/>
      <selection pane="bottomRight" activeCell="AK9" sqref="AK9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</v>
      </c>
      <c r="J2" s="10">
        <v>45938.795844907407</v>
      </c>
      <c r="K2" t="s">
        <v>21</v>
      </c>
      <c r="L2" t="s">
        <v>22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23</v>
      </c>
      <c r="B3" t="s">
        <v>24</v>
      </c>
      <c r="C3" t="s">
        <v>25</v>
      </c>
      <c r="D3" t="s">
        <v>16</v>
      </c>
      <c r="E3" t="s">
        <v>26</v>
      </c>
      <c r="F3" t="s">
        <v>27</v>
      </c>
      <c r="G3" t="s">
        <v>28</v>
      </c>
      <c r="H3" t="s">
        <v>29</v>
      </c>
      <c r="I3">
        <v>167</v>
      </c>
      <c r="J3" s="10">
        <v>45938.808622685188</v>
      </c>
      <c r="K3" t="s">
        <v>21</v>
      </c>
      <c r="L3" t="s">
        <v>30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31</v>
      </c>
      <c r="B4" t="s">
        <v>32</v>
      </c>
      <c r="C4" t="s">
        <v>33</v>
      </c>
      <c r="D4" t="s">
        <v>16</v>
      </c>
      <c r="E4" t="s">
        <v>34</v>
      </c>
      <c r="F4" t="s">
        <v>35</v>
      </c>
      <c r="G4" t="s">
        <v>36</v>
      </c>
      <c r="H4" t="s">
        <v>37</v>
      </c>
      <c r="I4">
        <v>89</v>
      </c>
      <c r="J4" t="s">
        <v>38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39</v>
      </c>
      <c r="B5" t="s">
        <v>40</v>
      </c>
      <c r="C5" t="s">
        <v>41</v>
      </c>
      <c r="D5" t="s">
        <v>16</v>
      </c>
      <c r="E5" t="s">
        <v>42</v>
      </c>
      <c r="F5" t="s">
        <v>43</v>
      </c>
      <c r="G5" t="s">
        <v>44</v>
      </c>
      <c r="H5" t="s">
        <v>45</v>
      </c>
      <c r="I5">
        <v>12</v>
      </c>
      <c r="J5" t="s">
        <v>46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47</v>
      </c>
      <c r="B6" t="s">
        <v>48</v>
      </c>
      <c r="C6" t="s">
        <v>49</v>
      </c>
      <c r="D6" t="s">
        <v>50</v>
      </c>
      <c r="E6" t="s">
        <v>26</v>
      </c>
      <c r="F6" t="s">
        <v>51</v>
      </c>
      <c r="G6" t="s">
        <v>52</v>
      </c>
      <c r="H6" t="s">
        <v>53</v>
      </c>
      <c r="I6">
        <v>14</v>
      </c>
      <c r="J6" t="s">
        <v>54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55</v>
      </c>
      <c r="B7" t="s">
        <v>56</v>
      </c>
      <c r="C7" t="s">
        <v>57</v>
      </c>
      <c r="D7" t="s">
        <v>50</v>
      </c>
      <c r="E7" t="s">
        <v>42</v>
      </c>
      <c r="F7" t="s">
        <v>43</v>
      </c>
      <c r="G7" t="s">
        <v>58</v>
      </c>
      <c r="H7" t="s">
        <v>59</v>
      </c>
      <c r="I7">
        <v>53</v>
      </c>
      <c r="J7" t="s">
        <v>60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61</v>
      </c>
      <c r="B8" t="s">
        <v>62</v>
      </c>
      <c r="C8" t="s">
        <v>63</v>
      </c>
      <c r="D8" t="s">
        <v>50</v>
      </c>
      <c r="E8" t="s">
        <v>64</v>
      </c>
      <c r="F8" t="s">
        <v>65</v>
      </c>
      <c r="G8" t="s">
        <v>52</v>
      </c>
      <c r="H8" t="s">
        <v>66</v>
      </c>
      <c r="I8">
        <v>5</v>
      </c>
      <c r="J8" t="s">
        <v>67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68</v>
      </c>
      <c r="B9" t="s">
        <v>69</v>
      </c>
      <c r="C9" t="s">
        <v>49</v>
      </c>
      <c r="D9" t="s">
        <v>16</v>
      </c>
      <c r="E9" t="s">
        <v>26</v>
      </c>
      <c r="F9" t="s">
        <v>51</v>
      </c>
      <c r="G9" t="s">
        <v>52</v>
      </c>
      <c r="H9" t="s">
        <v>70</v>
      </c>
      <c r="I9">
        <v>6</v>
      </c>
      <c r="J9" t="s">
        <v>71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72</v>
      </c>
      <c r="B10" t="s">
        <v>73</v>
      </c>
      <c r="C10" t="s">
        <v>57</v>
      </c>
      <c r="D10" t="s">
        <v>50</v>
      </c>
      <c r="E10" t="s">
        <v>42</v>
      </c>
      <c r="F10" t="s">
        <v>43</v>
      </c>
      <c r="G10" t="s">
        <v>74</v>
      </c>
      <c r="H10" t="s">
        <v>75</v>
      </c>
      <c r="I10">
        <v>9</v>
      </c>
      <c r="J10" t="s">
        <v>76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77</v>
      </c>
      <c r="B11" t="s">
        <v>78</v>
      </c>
      <c r="C11" t="s">
        <v>79</v>
      </c>
      <c r="D11" t="s">
        <v>50</v>
      </c>
      <c r="E11" t="s">
        <v>80</v>
      </c>
      <c r="F11" t="s">
        <v>81</v>
      </c>
      <c r="G11" t="s">
        <v>44</v>
      </c>
      <c r="H11" t="s">
        <v>82</v>
      </c>
      <c r="I11">
        <v>10</v>
      </c>
      <c r="J11" t="s">
        <v>83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84</v>
      </c>
      <c r="B12" t="s">
        <v>85</v>
      </c>
      <c r="C12" t="s">
        <v>57</v>
      </c>
      <c r="D12" t="s">
        <v>16</v>
      </c>
      <c r="E12" t="s">
        <v>42</v>
      </c>
      <c r="F12" t="s">
        <v>43</v>
      </c>
      <c r="G12" t="s">
        <v>58</v>
      </c>
      <c r="H12" t="s">
        <v>86</v>
      </c>
      <c r="I12">
        <v>21</v>
      </c>
      <c r="J12" t="s">
        <v>87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88</v>
      </c>
      <c r="B13" t="s">
        <v>89</v>
      </c>
      <c r="C13" t="s">
        <v>41</v>
      </c>
      <c r="D13" t="s">
        <v>16</v>
      </c>
      <c r="E13" t="s">
        <v>42</v>
      </c>
      <c r="F13" t="s">
        <v>43</v>
      </c>
      <c r="G13" t="s">
        <v>44</v>
      </c>
      <c r="H13" t="s">
        <v>45</v>
      </c>
      <c r="I13">
        <v>0</v>
      </c>
      <c r="J13" t="s">
        <v>90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91</v>
      </c>
      <c r="B14" t="s">
        <v>92</v>
      </c>
      <c r="C14" t="s">
        <v>93</v>
      </c>
      <c r="D14" t="s">
        <v>16</v>
      </c>
      <c r="E14" t="s">
        <v>94</v>
      </c>
      <c r="F14" t="s">
        <v>95</v>
      </c>
      <c r="G14" t="s">
        <v>96</v>
      </c>
      <c r="H14" t="s">
        <v>97</v>
      </c>
      <c r="I14">
        <v>5</v>
      </c>
      <c r="J14" t="s">
        <v>98</v>
      </c>
      <c r="K14" t="s">
        <v>21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121</v>
      </c>
      <c r="B15" t="s">
        <v>122</v>
      </c>
      <c r="C15" t="s">
        <v>123</v>
      </c>
      <c r="D15" t="s">
        <v>16</v>
      </c>
      <c r="E15" t="s">
        <v>124</v>
      </c>
      <c r="F15" t="s">
        <v>125</v>
      </c>
      <c r="G15" t="s">
        <v>126</v>
      </c>
      <c r="H15" t="s">
        <v>127</v>
      </c>
      <c r="I15">
        <v>49</v>
      </c>
      <c r="J15" t="s">
        <v>128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130</v>
      </c>
      <c r="B16" t="s">
        <v>131</v>
      </c>
      <c r="C16" t="s">
        <v>123</v>
      </c>
      <c r="D16" t="s">
        <v>50</v>
      </c>
      <c r="E16" t="s">
        <v>124</v>
      </c>
      <c r="F16" t="s">
        <v>125</v>
      </c>
      <c r="G16" t="s">
        <v>132</v>
      </c>
      <c r="H16" t="s">
        <v>133</v>
      </c>
      <c r="I16">
        <v>43</v>
      </c>
      <c r="J16" t="s">
        <v>134</v>
      </c>
      <c r="L16" t="s">
        <v>135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136</v>
      </c>
      <c r="B17" t="s">
        <v>137</v>
      </c>
      <c r="C17" t="s">
        <v>79</v>
      </c>
      <c r="D17" t="s">
        <v>16</v>
      </c>
      <c r="E17" t="s">
        <v>80</v>
      </c>
      <c r="F17" t="s">
        <v>81</v>
      </c>
      <c r="G17" t="s">
        <v>74</v>
      </c>
      <c r="H17" t="s">
        <v>138</v>
      </c>
      <c r="I17">
        <v>24</v>
      </c>
      <c r="J17" t="s">
        <v>139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140</v>
      </c>
      <c r="B18" t="s">
        <v>141</v>
      </c>
      <c r="C18" t="s">
        <v>142</v>
      </c>
      <c r="D18" t="s">
        <v>50</v>
      </c>
      <c r="E18" t="s">
        <v>26</v>
      </c>
      <c r="F18" t="s">
        <v>51</v>
      </c>
      <c r="G18" t="s">
        <v>143</v>
      </c>
      <c r="H18" t="s">
        <v>144</v>
      </c>
      <c r="I18">
        <v>40</v>
      </c>
      <c r="J18" t="s">
        <v>145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152</v>
      </c>
      <c r="B19" t="s">
        <v>153</v>
      </c>
      <c r="C19" t="s">
        <v>79</v>
      </c>
      <c r="D19" t="s">
        <v>16</v>
      </c>
      <c r="E19" t="s">
        <v>154</v>
      </c>
      <c r="F19" t="s">
        <v>155</v>
      </c>
      <c r="G19" t="s">
        <v>44</v>
      </c>
      <c r="H19" t="s">
        <v>156</v>
      </c>
      <c r="I19">
        <v>8</v>
      </c>
      <c r="J19" t="s">
        <v>157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zoomScaleNormal="115" zoomScaleSheetLayoutView="100" workbookViewId="0">
      <selection activeCell="B5" sqref="B5:C5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29" t="s">
        <v>99</v>
      </c>
      <c r="B1" s="30"/>
      <c r="C1" s="30"/>
      <c r="D1" s="30"/>
      <c r="E1" s="27" t="s">
        <v>146</v>
      </c>
      <c r="F1" s="28"/>
    </row>
    <row r="2" spans="1:13" ht="35.1" customHeight="1" x14ac:dyDescent="0.25">
      <c r="A2" s="2" t="s">
        <v>100</v>
      </c>
      <c r="B2" s="8" t="s">
        <v>152</v>
      </c>
      <c r="C2" s="1" t="s">
        <v>101</v>
      </c>
      <c r="D2" s="5" t="s">
        <v>154</v>
      </c>
      <c r="E2" s="1" t="s">
        <v>102</v>
      </c>
      <c r="F2" s="9" t="s">
        <v>147</v>
      </c>
    </row>
    <row r="3" spans="1:13" ht="35.1" customHeight="1" x14ac:dyDescent="0.25">
      <c r="A3" s="2" t="s">
        <v>103</v>
      </c>
      <c r="B3" s="7" t="s">
        <v>156</v>
      </c>
      <c r="C3" s="1" t="s">
        <v>104</v>
      </c>
      <c r="D3" s="11" t="s">
        <v>16</v>
      </c>
      <c r="E3" s="1" t="s">
        <v>105</v>
      </c>
      <c r="F3" s="9" t="s">
        <v>147</v>
      </c>
    </row>
    <row r="4" spans="1:13" ht="35.1" customHeight="1" x14ac:dyDescent="0.25">
      <c r="A4" s="2" t="s">
        <v>106</v>
      </c>
      <c r="B4" s="26" t="s">
        <v>79</v>
      </c>
      <c r="C4" s="26"/>
      <c r="D4" s="26"/>
      <c r="E4" s="1" t="s">
        <v>107</v>
      </c>
      <c r="F4" s="9">
        <v>1</v>
      </c>
      <c r="M4" s="6"/>
    </row>
    <row r="5" spans="1:13" ht="50.1" customHeight="1" thickBot="1" x14ac:dyDescent="0.3">
      <c r="A5" s="3" t="s">
        <v>108</v>
      </c>
      <c r="B5" s="23"/>
      <c r="C5" s="23"/>
      <c r="D5" s="12" t="s">
        <v>109</v>
      </c>
      <c r="E5" s="24" t="s">
        <v>44</v>
      </c>
      <c r="F5" s="25"/>
      <c r="M5" s="6"/>
    </row>
    <row r="6" spans="1:13" ht="50.1" customHeight="1" x14ac:dyDescent="0.3">
      <c r="A6" s="29" t="s">
        <v>99</v>
      </c>
      <c r="B6" s="30"/>
      <c r="C6" s="30"/>
      <c r="D6" s="30"/>
      <c r="E6" s="27" t="str">
        <f>E1</f>
        <v>Không Giam Size</v>
      </c>
      <c r="F6" s="28"/>
    </row>
    <row r="7" spans="1:13" ht="35.1" customHeight="1" x14ac:dyDescent="0.25">
      <c r="A7" s="2" t="s">
        <v>100</v>
      </c>
      <c r="B7" s="8" t="str">
        <f>B2</f>
        <v>RPRO-250728-0079</v>
      </c>
      <c r="C7" s="1" t="s">
        <v>101</v>
      </c>
      <c r="D7" s="5" t="str">
        <f>D2</f>
        <v>OE-0656</v>
      </c>
      <c r="E7" s="1" t="s">
        <v>102</v>
      </c>
      <c r="F7" s="9" t="s">
        <v>148</v>
      </c>
    </row>
    <row r="8" spans="1:13" ht="35.1" customHeight="1" x14ac:dyDescent="0.25">
      <c r="A8" s="2" t="s">
        <v>103</v>
      </c>
      <c r="B8" s="7" t="str">
        <f>B3</f>
        <v>OE-006296</v>
      </c>
      <c r="C8" s="1" t="s">
        <v>104</v>
      </c>
      <c r="D8" s="11" t="str">
        <f>D3</f>
        <v>Women's</v>
      </c>
      <c r="E8" s="1" t="s">
        <v>105</v>
      </c>
      <c r="F8" s="9" t="s">
        <v>148</v>
      </c>
    </row>
    <row r="9" spans="1:13" ht="35.1" customHeight="1" x14ac:dyDescent="0.25">
      <c r="A9" s="2" t="s">
        <v>106</v>
      </c>
      <c r="B9" s="26" t="str">
        <f>B4</f>
        <v>LONG RICH (VIETNAM) CO., LTD / AIKNIT</v>
      </c>
      <c r="C9" s="26"/>
      <c r="D9" s="26"/>
      <c r="E9" s="1" t="s">
        <v>107</v>
      </c>
      <c r="F9" s="9">
        <v>3</v>
      </c>
    </row>
    <row r="10" spans="1:13" ht="50.1" customHeight="1" thickBot="1" x14ac:dyDescent="0.3">
      <c r="A10" s="3" t="s">
        <v>108</v>
      </c>
      <c r="B10" s="23">
        <f>B5</f>
        <v>0</v>
      </c>
      <c r="C10" s="23"/>
      <c r="D10" s="12" t="s">
        <v>109</v>
      </c>
      <c r="E10" s="24" t="str">
        <f>E5</f>
        <v>BLACK C LJ-B0001-BLK-EPM5 44" 210G</v>
      </c>
      <c r="F10" s="25"/>
    </row>
    <row r="11" spans="1:13" ht="50.1" customHeight="1" x14ac:dyDescent="0.3">
      <c r="A11" s="29" t="s">
        <v>99</v>
      </c>
      <c r="B11" s="30"/>
      <c r="C11" s="30"/>
      <c r="D11" s="30"/>
      <c r="E11" s="27" t="str">
        <f>E6</f>
        <v>Không Giam Size</v>
      </c>
      <c r="F11" s="28"/>
    </row>
    <row r="12" spans="1:13" ht="35.1" customHeight="1" x14ac:dyDescent="0.25">
      <c r="A12" s="2" t="s">
        <v>100</v>
      </c>
      <c r="B12" s="8" t="str">
        <f>B7</f>
        <v>RPRO-250728-0079</v>
      </c>
      <c r="C12" s="1" t="s">
        <v>101</v>
      </c>
      <c r="D12" s="5" t="str">
        <f>D7</f>
        <v>OE-0656</v>
      </c>
      <c r="E12" s="1" t="s">
        <v>102</v>
      </c>
      <c r="F12" s="9" t="s">
        <v>159</v>
      </c>
    </row>
    <row r="13" spans="1:13" ht="35.1" customHeight="1" x14ac:dyDescent="0.25">
      <c r="A13" s="2" t="s">
        <v>110</v>
      </c>
      <c r="B13" s="7" t="str">
        <f>B8</f>
        <v>OE-006296</v>
      </c>
      <c r="C13" s="1" t="s">
        <v>104</v>
      </c>
      <c r="D13" s="11" t="str">
        <f>D8</f>
        <v>Women's</v>
      </c>
      <c r="E13" s="1" t="s">
        <v>105</v>
      </c>
      <c r="F13" s="9" t="s">
        <v>159</v>
      </c>
    </row>
    <row r="14" spans="1:13" ht="35.1" customHeight="1" x14ac:dyDescent="0.25">
      <c r="A14" s="2" t="s">
        <v>106</v>
      </c>
      <c r="B14" s="26" t="str">
        <f>B9</f>
        <v>LONG RICH (VIETNAM) CO., LTD / AIKNIT</v>
      </c>
      <c r="C14" s="26"/>
      <c r="D14" s="26"/>
      <c r="E14" s="1" t="s">
        <v>107</v>
      </c>
      <c r="F14" s="9">
        <v>1</v>
      </c>
    </row>
    <row r="15" spans="1:13" ht="50.1" customHeight="1" thickBot="1" x14ac:dyDescent="0.3">
      <c r="A15" s="3" t="s">
        <v>108</v>
      </c>
      <c r="B15" s="23">
        <f>B10</f>
        <v>0</v>
      </c>
      <c r="C15" s="23"/>
      <c r="D15" s="12" t="s">
        <v>109</v>
      </c>
      <c r="E15" s="24" t="str">
        <f>E10</f>
        <v>BLACK C LJ-B0001-BLK-EPM5 44" 210G</v>
      </c>
      <c r="F15" s="25"/>
    </row>
    <row r="16" spans="1:13" ht="50.1" customHeight="1" x14ac:dyDescent="0.3">
      <c r="A16" s="29" t="s">
        <v>99</v>
      </c>
      <c r="B16" s="30"/>
      <c r="C16" s="30"/>
      <c r="D16" s="30"/>
      <c r="E16" s="27" t="str">
        <f>E11</f>
        <v>Không Giam Size</v>
      </c>
      <c r="F16" s="28"/>
    </row>
    <row r="17" spans="1:6" ht="35.1" customHeight="1" x14ac:dyDescent="0.25">
      <c r="A17" s="2" t="s">
        <v>100</v>
      </c>
      <c r="B17" s="8" t="str">
        <f>B12</f>
        <v>RPRO-250728-0079</v>
      </c>
      <c r="C17" s="1" t="s">
        <v>101</v>
      </c>
      <c r="D17" s="5" t="str">
        <f>D12</f>
        <v>OE-0656</v>
      </c>
      <c r="E17" s="1" t="s">
        <v>102</v>
      </c>
      <c r="F17" s="9" t="s">
        <v>149</v>
      </c>
    </row>
    <row r="18" spans="1:6" ht="35.1" customHeight="1" x14ac:dyDescent="0.25">
      <c r="A18" s="2" t="s">
        <v>110</v>
      </c>
      <c r="B18" s="7" t="str">
        <f>B13</f>
        <v>OE-006296</v>
      </c>
      <c r="C18" s="1" t="s">
        <v>104</v>
      </c>
      <c r="D18" s="11" t="str">
        <f>D13</f>
        <v>Women's</v>
      </c>
      <c r="E18" s="1" t="s">
        <v>105</v>
      </c>
      <c r="F18" s="9" t="s">
        <v>149</v>
      </c>
    </row>
    <row r="19" spans="1:6" ht="35.1" customHeight="1" x14ac:dyDescent="0.25">
      <c r="A19" s="2" t="s">
        <v>106</v>
      </c>
      <c r="B19" s="26" t="str">
        <f>B14</f>
        <v>LONG RICH (VIETNAM) CO., LTD / AIKNIT</v>
      </c>
      <c r="C19" s="26"/>
      <c r="D19" s="26"/>
      <c r="E19" s="1" t="s">
        <v>107</v>
      </c>
      <c r="F19" s="9">
        <v>3</v>
      </c>
    </row>
    <row r="20" spans="1:6" ht="50.1" customHeight="1" thickBot="1" x14ac:dyDescent="0.3">
      <c r="A20" s="3" t="s">
        <v>108</v>
      </c>
      <c r="B20" s="23">
        <f>B15</f>
        <v>0</v>
      </c>
      <c r="C20" s="23"/>
      <c r="D20" s="12" t="s">
        <v>109</v>
      </c>
      <c r="E20" s="24" t="str">
        <f>E15</f>
        <v>BLACK C LJ-B0001-BLK-EPM5 44" 210G</v>
      </c>
      <c r="F20" s="25"/>
    </row>
    <row r="21" spans="1:6" ht="50.1" customHeight="1" x14ac:dyDescent="0.3">
      <c r="A21" s="29" t="s">
        <v>99</v>
      </c>
      <c r="B21" s="30"/>
      <c r="C21" s="30"/>
      <c r="D21" s="30"/>
      <c r="E21" s="27" t="str">
        <f>E16</f>
        <v>Không Giam Size</v>
      </c>
      <c r="F21" s="28"/>
    </row>
    <row r="22" spans="1:6" ht="35.1" customHeight="1" x14ac:dyDescent="0.25">
      <c r="A22" s="2" t="s">
        <v>100</v>
      </c>
      <c r="B22" s="8" t="str">
        <f>B17</f>
        <v>RPRO-250728-0079</v>
      </c>
      <c r="C22" s="1" t="s">
        <v>101</v>
      </c>
      <c r="D22" s="5" t="str">
        <f>D17</f>
        <v>OE-0656</v>
      </c>
      <c r="E22" s="1" t="s">
        <v>102</v>
      </c>
      <c r="F22" s="9"/>
    </row>
    <row r="23" spans="1:6" ht="35.1" customHeight="1" x14ac:dyDescent="0.25">
      <c r="A23" s="2" t="s">
        <v>110</v>
      </c>
      <c r="B23" s="7" t="str">
        <f>B18</f>
        <v>OE-006296</v>
      </c>
      <c r="C23" s="1" t="s">
        <v>104</v>
      </c>
      <c r="D23" s="11" t="str">
        <f>D18</f>
        <v>Women's</v>
      </c>
      <c r="E23" s="1" t="s">
        <v>105</v>
      </c>
      <c r="F23" s="9"/>
    </row>
    <row r="24" spans="1:6" ht="35.1" customHeight="1" x14ac:dyDescent="0.25">
      <c r="A24" s="2" t="s">
        <v>106</v>
      </c>
      <c r="B24" s="26" t="str">
        <f>B19</f>
        <v>LONG RICH (VIETNAM) CO., LTD / AIKNIT</v>
      </c>
      <c r="C24" s="26"/>
      <c r="D24" s="26"/>
      <c r="E24" s="1" t="s">
        <v>107</v>
      </c>
      <c r="F24" s="9"/>
    </row>
    <row r="25" spans="1:6" ht="50.1" customHeight="1" thickBot="1" x14ac:dyDescent="0.3">
      <c r="A25" s="3" t="s">
        <v>108</v>
      </c>
      <c r="B25" s="23">
        <f>B20</f>
        <v>0</v>
      </c>
      <c r="C25" s="23"/>
      <c r="D25" s="12" t="s">
        <v>109</v>
      </c>
      <c r="E25" s="24" t="str">
        <f>E20</f>
        <v>BLACK C LJ-B0001-BLK-EPM5 44" 210G</v>
      </c>
      <c r="F25" s="25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9" scale="77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view="pageBreakPreview" zoomScale="60" zoomScaleNormal="100" workbookViewId="0">
      <selection activeCell="C7" sqref="C7:C12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31" t="s">
        <v>111</v>
      </c>
      <c r="B1" s="31"/>
      <c r="C1" s="31"/>
      <c r="D1" s="31"/>
    </row>
    <row r="2" spans="1:4" ht="37.5" customHeight="1" x14ac:dyDescent="0.25">
      <c r="A2" s="17" t="s">
        <v>112</v>
      </c>
      <c r="B2" s="14" t="s">
        <v>152</v>
      </c>
      <c r="C2" s="17" t="s">
        <v>103</v>
      </c>
      <c r="D2" s="14" t="s">
        <v>156</v>
      </c>
    </row>
    <row r="3" spans="1:4" ht="24" customHeight="1" x14ac:dyDescent="0.25">
      <c r="A3" s="17" t="s">
        <v>113</v>
      </c>
      <c r="B3" s="14" t="s">
        <v>153</v>
      </c>
      <c r="C3" s="17" t="s">
        <v>114</v>
      </c>
      <c r="D3" s="14" t="s">
        <v>154</v>
      </c>
    </row>
    <row r="4" spans="1:4" ht="72.75" customHeight="1" x14ac:dyDescent="0.25">
      <c r="A4" s="18" t="s">
        <v>115</v>
      </c>
      <c r="B4" s="19" t="s">
        <v>79</v>
      </c>
      <c r="C4" s="18" t="s">
        <v>116</v>
      </c>
      <c r="D4" s="19" t="s">
        <v>44</v>
      </c>
    </row>
    <row r="5" spans="1:4" ht="24" customHeight="1" x14ac:dyDescent="0.25">
      <c r="A5" s="17" t="s">
        <v>117</v>
      </c>
      <c r="B5" s="20"/>
      <c r="C5" s="20"/>
      <c r="D5" s="20"/>
    </row>
    <row r="6" spans="1:4" ht="28.5" customHeight="1" x14ac:dyDescent="0.25">
      <c r="A6" s="17" t="s">
        <v>118</v>
      </c>
      <c r="B6" s="17" t="s">
        <v>119</v>
      </c>
      <c r="C6" s="17" t="s">
        <v>120</v>
      </c>
      <c r="D6" s="21">
        <v>8</v>
      </c>
    </row>
    <row r="7" spans="1:4" ht="24.95" customHeight="1" x14ac:dyDescent="0.25">
      <c r="A7" s="16" t="s">
        <v>150</v>
      </c>
      <c r="B7" s="16" t="s">
        <v>150</v>
      </c>
      <c r="C7" s="22">
        <v>1</v>
      </c>
      <c r="D7" s="16"/>
    </row>
    <row r="8" spans="1:4" ht="24.95" customHeight="1" x14ac:dyDescent="0.25">
      <c r="A8" s="16" t="s">
        <v>151</v>
      </c>
      <c r="B8" s="16" t="s">
        <v>151</v>
      </c>
      <c r="C8" s="22">
        <v>3</v>
      </c>
      <c r="D8" s="16"/>
    </row>
    <row r="9" spans="1:4" ht="24.95" customHeight="1" x14ac:dyDescent="0.25">
      <c r="A9" s="16" t="s">
        <v>158</v>
      </c>
      <c r="B9" s="16" t="s">
        <v>158</v>
      </c>
      <c r="C9" s="22">
        <v>1</v>
      </c>
      <c r="D9" s="16"/>
    </row>
    <row r="10" spans="1:4" ht="24.95" customHeight="1" x14ac:dyDescent="0.25">
      <c r="A10" s="16" t="s">
        <v>129</v>
      </c>
      <c r="B10" s="16" t="s">
        <v>129</v>
      </c>
      <c r="C10" s="22">
        <v>3</v>
      </c>
      <c r="D10" s="16"/>
    </row>
    <row r="11" spans="1:4" ht="24.95" customHeight="1" x14ac:dyDescent="0.25">
      <c r="A11" s="16"/>
      <c r="B11" s="16"/>
      <c r="C11" s="22"/>
      <c r="D11" s="16"/>
    </row>
    <row r="12" spans="1:4" ht="24.95" customHeight="1" x14ac:dyDescent="0.25">
      <c r="A12" s="16"/>
      <c r="B12" s="16"/>
      <c r="C12" s="22"/>
      <c r="D12" s="16"/>
    </row>
    <row r="13" spans="1:4" ht="24.95" customHeight="1" x14ac:dyDescent="0.25">
      <c r="A13" s="16"/>
      <c r="B13" s="16"/>
      <c r="C13" s="22"/>
      <c r="D13" s="16"/>
    </row>
    <row r="14" spans="1:4" ht="24.95" customHeight="1" x14ac:dyDescent="0.25">
      <c r="A14" s="16"/>
      <c r="B14" s="16"/>
      <c r="C14" s="22"/>
      <c r="D14" s="16"/>
    </row>
    <row r="15" spans="1:4" ht="24.95" customHeight="1" x14ac:dyDescent="0.25">
      <c r="A15" s="16"/>
      <c r="B15" s="16"/>
      <c r="C15" s="22"/>
      <c r="D15" s="16"/>
    </row>
    <row r="16" spans="1:4" ht="24.95" customHeight="1" x14ac:dyDescent="0.25">
      <c r="A16" s="16"/>
      <c r="B16" s="16"/>
      <c r="C16" s="22"/>
      <c r="D16" s="16"/>
    </row>
    <row r="17" spans="1:6" ht="24.95" customHeight="1" x14ac:dyDescent="0.25">
      <c r="A17" s="16"/>
      <c r="B17" s="16"/>
      <c r="C17" s="22"/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2492B47-8714-4D09-8907-FE4A7F26E63B}">
  <ds:schemaRefs>
    <ds:schemaRef ds:uri="http://purl.org/dc/elements/1.1/"/>
    <ds:schemaRef ds:uri="http://purl.org/dc/dcmitype/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71b44b8b-5734-40bc-bcd6-983774da7c1c"/>
    <ds:schemaRef ds:uri="http://schemas.microsoft.com/office/infopath/2007/PartnerControls"/>
    <ds:schemaRef ds:uri="http://schemas.openxmlformats.org/package/2006/metadata/core-properties"/>
    <ds:schemaRef ds:uri="b65cb79d-c821-4d3d-aab2-5ef15e9cc85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SYN</vt:lpstr>
      <vt:lpstr>TEMPLATE</vt:lpstr>
      <vt:lpstr>PhieuDD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2025-08-14T13:33:04Z</cp:lastPrinted>
  <dcterms:created xsi:type="dcterms:W3CDTF">2025-07-23T17:12:12Z</dcterms:created>
  <dcterms:modified xsi:type="dcterms:W3CDTF">2025-08-14T13:35:59Z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