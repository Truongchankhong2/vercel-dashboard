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844" documentId="8_{BC9E03AF-875C-4F7B-B632-8C15CEE753D9}" xr6:coauthVersionLast="47" xr6:coauthVersionMax="47" xr10:uidLastSave="{CD66EDA3-8F2E-476B-9A57-108E782C2E16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D8" i="3"/>
  <c r="D18" i="3" s="1"/>
  <c r="D23" i="3" s="1"/>
  <c r="D7" i="3"/>
  <c r="D17" i="3" s="1"/>
  <c r="B7" i="3"/>
  <c r="B12" i="3" s="1"/>
  <c r="B17" i="3" s="1"/>
  <c r="B19" i="3" l="1"/>
  <c r="B24" i="3" s="1"/>
</calcChain>
</file>

<file path=xl/sharedStrings.xml><?xml version="1.0" encoding="utf-8"?>
<sst xmlns="http://schemas.openxmlformats.org/spreadsheetml/2006/main" count="2581" uniqueCount="1238">
  <si>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</si>
  <si>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</si>
  <si>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</si>
  <si>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</si>
  <si>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</si>
  <si>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</si>
  <si>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</si>
  <si>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</si>
  <si>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</si>
  <si>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</si>
  <si>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</si>
  <si>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</si>
  <si>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</si>
  <si>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</si>
  <si>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</si>
  <si>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</si>
  <si>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</si>
  <si>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</si>
  <si>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</si>
  <si>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</si>
  <si>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</si>
  <si>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</si>
  <si>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</si>
  <si>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</si>
  <si>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</si>
  <si>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</si>
  <si>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</si>
  <si>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</si>
  <si>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</si>
  <si>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</si>
  <si>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</si>
  <si>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</si>
  <si>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</si>
  <si>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</si>
  <si>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</si>
  <si>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</si>
  <si>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</si>
  <si>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</si>
  <si>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</si>
  <si>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</si>
  <si>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</si>
  <si>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</si>
  <si>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</si>
  <si>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</si>
  <si>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</si>
  <si>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</si>
  <si>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</si>
  <si>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</si>
  <si>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</si>
  <si>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</si>
  <si>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</si>
  <si>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</si>
  <si>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</si>
  <si>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</si>
  <si>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</si>
  <si>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</si>
  <si>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</si>
  <si>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</si>
  <si>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</si>
  <si>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</si>
  <si>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</si>
  <si>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</si>
  <si>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</si>
  <si>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</si>
  <si>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</si>
  <si>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</si>
  <si>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</si>
  <si>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</si>
  <si>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</si>
  <si>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</si>
  <si>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</si>
  <si>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</si>
  <si>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</si>
  <si>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</si>
  <si>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</si>
  <si>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</si>
  <si>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</si>
  <si>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</si>
  <si>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</si>
  <si>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</si>
  <si>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</si>
  <si>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</si>
  <si>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</si>
  <si>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</si>
  <si>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</si>
  <si>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</si>
  <si>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</si>
  <si>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</si>
  <si>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</si>
  <si>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</si>
  <si>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</si>
  <si>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</si>
  <si>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</si>
  <si>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</si>
  <si>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</si>
  <si>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</si>
  <si>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</si>
  <si>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</si>
  <si>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</si>
  <si>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</si>
  <si>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</si>
  <si>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</si>
  <si>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</si>
  <si>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</si>
  <si>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</si>
  <si>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</si>
  <si>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</si>
  <si>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</si>
  <si>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</si>
  <si>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</si>
  <si>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</si>
  <si>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</si>
  <si>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</si>
  <si>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</si>
  <si>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</si>
  <si>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</si>
  <si>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</si>
  <si>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</si>
  <si>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</si>
  <si>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</si>
  <si>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</si>
  <si>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</si>
  <si>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</si>
  <si>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</si>
  <si>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</si>
  <si>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</si>
  <si>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</si>
  <si>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</si>
  <si>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</si>
  <si>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</si>
  <si>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</si>
  <si>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</si>
  <si>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</si>
  <si>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</si>
  <si>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</si>
  <si>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</si>
  <si>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</si>
  <si>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</si>
  <si>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</si>
  <si>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</si>
  <si>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</si>
  <si>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</si>
  <si>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</si>
  <si>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</si>
  <si>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</si>
  <si>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</si>
  <si>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</si>
  <si>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</si>
  <si>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</si>
  <si>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</si>
  <si>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</si>
  <si>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</si>
  <si>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</si>
  <si>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</si>
  <si>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</si>
  <si>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</si>
  <si>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</si>
  <si>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</si>
  <si>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</si>
  <si>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</si>
  <si>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</si>
  <si>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</si>
  <si>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</si>
  <si>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</si>
  <si>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</si>
  <si>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</si>
  <si>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</si>
  <si>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</si>
  <si>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</si>
  <si>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</si>
  <si>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</si>
  <si>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</si>
  <si>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</si>
  <si>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</si>
  <si>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</si>
  <si>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</si>
  <si>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</si>
  <si>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</si>
  <si>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</si>
  <si>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</si>
  <si>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</si>
  <si>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</si>
  <si>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</si>
  <si>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</si>
  <si>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</si>
  <si>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</si>
  <si>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</si>
  <si>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</si>
  <si>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</si>
  <si>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</si>
  <si>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</si>
  <si>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</si>
  <si>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</si>
  <si>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</si>
  <si>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</si>
  <si>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</si>
  <si>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</si>
  <si>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</si>
  <si>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</si>
  <si>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</si>
  <si>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</si>
  <si>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</si>
  <si>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</si>
  <si>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</si>
  <si>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</si>
  <si>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</si>
  <si>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</si>
  <si>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</si>
  <si>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</si>
  <si>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</si>
  <si>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</si>
  <si>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</si>
  <si>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</si>
  <si>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</si>
  <si>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</si>
  <si>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</si>
  <si>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</si>
  <si>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</si>
  <si>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</si>
  <si>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</si>
  <si>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</si>
  <si>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</si>
  <si>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</si>
  <si>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</si>
  <si>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</si>
  <si>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</si>
  <si>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</si>
  <si>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</si>
  <si>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</si>
  <si>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</si>
  <si>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</si>
  <si>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</si>
  <si>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</si>
  <si>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</si>
  <si>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</si>
  <si>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</si>
  <si>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</si>
  <si>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</si>
  <si>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</si>
  <si>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</si>
  <si>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</si>
  <si>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</si>
  <si>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</si>
  <si>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</si>
  <si>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</si>
  <si>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</si>
  <si>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</si>
  <si>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</si>
  <si>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</si>
  <si>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</si>
  <si>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</si>
  <si>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</si>
  <si>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</si>
  <si>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</si>
  <si>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</si>
  <si>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</si>
  <si>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</si>
  <si>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</si>
  <si>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</si>
  <si>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</si>
  <si>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</si>
  <si>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</si>
  <si>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</si>
  <si>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</si>
  <si>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</si>
  <si>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</si>
  <si>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</si>
  <si>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</si>
  <si>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</si>
  <si>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</si>
  <si>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</si>
  <si>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</si>
  <si>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</si>
  <si>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</si>
  <si>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</si>
  <si>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</si>
  <si>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</si>
  <si>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</si>
  <si>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</si>
  <si>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</si>
  <si>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</si>
  <si>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</si>
  <si>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</si>
  <si>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</si>
  <si>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</si>
  <si>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</si>
  <si>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</si>
  <si>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</si>
  <si>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</si>
  <si>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</si>
  <si>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</si>
  <si>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</si>
  <si>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</si>
  <si>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</si>
  <si>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</si>
  <si>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</si>
  <si>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</si>
  <si>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</si>
  <si>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</si>
  <si>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</si>
  <si>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</si>
  <si>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</si>
  <si>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</si>
  <si>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</si>
  <si>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</si>
  <si>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</si>
  <si>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</si>
  <si>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</si>
  <si>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</si>
  <si>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</si>
  <si>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</si>
  <si>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</si>
  <si>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</si>
  <si>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</si>
  <si>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</si>
  <si>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</si>
  <si>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</si>
  <si>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</si>
  <si>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</si>
  <si>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</si>
  <si>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</si>
  <si>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</si>
  <si>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</si>
  <si>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</si>
  <si>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</si>
  <si>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</si>
  <si>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</si>
  <si>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</si>
  <si>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</si>
  <si>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</si>
  <si>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</si>
  <si>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</si>
  <si>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</si>
  <si>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</si>
  <si>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</si>
  <si>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</si>
  <si>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</si>
  <si>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</si>
  <si>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</si>
  <si>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</si>
  <si>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</si>
  <si>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</si>
  <si>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</si>
  <si>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</si>
  <si>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</si>
  <si>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</si>
  <si>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</si>
  <si>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</si>
  <si>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</si>
  <si>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</si>
  <si>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</si>
  <si>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</si>
  <si>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</si>
  <si>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</si>
  <si>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</si>
  <si>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</si>
  <si>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</si>
  <si>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</si>
  <si>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</si>
  <si>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</si>
  <si>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</si>
  <si>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</si>
  <si>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</si>
  <si>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</si>
  <si>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</si>
  <si>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</si>
  <si>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</si>
  <si>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</si>
  <si>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</si>
  <si>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</si>
  <si>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</si>
  <si>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</si>
  <si>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</si>
  <si>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</si>
  <si>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</si>
  <si>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</si>
  <si>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</si>
  <si>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</si>
  <si>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</si>
  <si>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</si>
  <si>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</si>
  <si>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</si>
  <si>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</si>
  <si>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</si>
  <si>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</si>
  <si>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</si>
  <si>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</si>
  <si>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</si>
  <si>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</si>
  <si>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</si>
  <si>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</si>
  <si>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</si>
  <si>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</si>
  <si>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</si>
  <si>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</si>
  <si>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</si>
  <si>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</si>
  <si>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</si>
  <si>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</si>
  <si>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</si>
  <si>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</si>
  <si>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</si>
  <si>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</si>
  <si>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</si>
  <si>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</si>
  <si>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</si>
  <si>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</si>
  <si>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</si>
  <si>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</si>
  <si>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</si>
  <si>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</si>
  <si>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</si>
  <si>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</si>
  <si>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</si>
  <si>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</si>
  <si>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</si>
  <si>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</si>
  <si>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</si>
  <si>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</si>
  <si>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</si>
  <si>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</si>
  <si>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</si>
  <si>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</si>
  <si>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</si>
  <si>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</si>
  <si>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</si>
  <si>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</si>
  <si>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</si>
  <si>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</si>
  <si>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</si>
  <si>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</si>
  <si>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</si>
  <si>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</si>
  <si>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</si>
  <si>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</si>
  <si>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</si>
  <si>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</si>
  <si>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</si>
  <si>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</si>
  <si>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</si>
  <si>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</si>
  <si>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</si>
  <si>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</si>
  <si>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</si>
  <si>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</si>
  <si>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</si>
  <si>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</si>
  <si>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</si>
  <si>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</si>
  <si>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</si>
  <si>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</si>
  <si>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</si>
  <si>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</si>
  <si>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</si>
  <si>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</si>
  <si>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</si>
  <si>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</si>
  <si>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</si>
  <si>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</si>
  <si>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</si>
  <si>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</si>
  <si>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</si>
  <si>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</si>
  <si>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</si>
  <si>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</si>
  <si>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</si>
  <si>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</si>
  <si>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</si>
  <si>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</si>
  <si>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</si>
  <si>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</si>
  <si>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</si>
  <si>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</si>
  <si>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</si>
  <si>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</si>
  <si>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</si>
  <si>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</si>
  <si>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</si>
  <si>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</si>
  <si>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</si>
  <si>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</si>
  <si>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</si>
  <si>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</si>
  <si>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</si>
  <si>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</si>
  <si>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</si>
  <si>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</si>
  <si>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</si>
  <si>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</si>
  <si>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</si>
  <si>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</si>
  <si>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</si>
  <si>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</si>
  <si>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</si>
  <si>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</si>
  <si>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</si>
  <si>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</si>
  <si>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</si>
  <si>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</si>
  <si>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</si>
  <si>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</si>
  <si>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</si>
  <si>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</si>
  <si>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</si>
  <si>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</si>
  <si>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</si>
  <si>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</si>
  <si>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</si>
  <si>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</si>
  <si>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</si>
  <si>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</si>
  <si>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</si>
  <si>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</si>
  <si>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</si>
  <si>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</si>
  <si>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</si>
  <si>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</si>
  <si>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</si>
  <si>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</si>
  <si>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</si>
  <si>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</si>
  <si>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</si>
  <si>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</si>
  <si>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</si>
  <si>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</si>
  <si>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</si>
  <si>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</si>
  <si>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</si>
  <si>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</si>
  <si>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</si>
  <si>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</si>
  <si>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</si>
  <si>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</si>
  <si>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</si>
  <si>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</si>
  <si>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</si>
  <si>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</si>
  <si>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</si>
  <si>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</si>
  <si>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</si>
  <si>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</si>
  <si>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</si>
  <si>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</si>
  <si>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</si>
  <si>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</si>
  <si>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</si>
  <si>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</si>
  <si>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</si>
  <si>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</si>
  <si>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</si>
  <si>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</si>
  <si>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</si>
  <si>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</si>
  <si>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</si>
  <si>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</si>
  <si>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</si>
  <si>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</si>
  <si>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</si>
  <si>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</si>
  <si>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</si>
  <si>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</si>
  <si>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</si>
  <si>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</si>
  <si>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</si>
  <si>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</si>
  <si>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</si>
  <si>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</si>
  <si>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</si>
  <si>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</si>
  <si>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</si>
  <si>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</si>
  <si>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</si>
  <si>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</si>
  <si>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</si>
  <si>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</si>
  <si>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</si>
  <si>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</si>
  <si>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</si>
  <si>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</si>
  <si>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</si>
  <si>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</si>
  <si>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</si>
  <si>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</si>
  <si>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</si>
  <si>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</si>
  <si>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</si>
  <si>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</si>
  <si>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</si>
  <si>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</si>
  <si>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</si>
  <si>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</si>
  <si>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</si>
  <si>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</si>
  <si>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</si>
  <si>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</si>
  <si>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</si>
  <si>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</si>
  <si>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</si>
  <si>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</si>
  <si>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</si>
  <si>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</si>
  <si>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</si>
  <si>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</si>
  <si>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</si>
  <si>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</si>
  <si>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</si>
  <si>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</si>
  <si>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</si>
  <si>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</si>
  <si>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</si>
  <si>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</si>
  <si>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</si>
  <si>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</si>
  <si>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</si>
  <si>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</si>
  <si>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</si>
  <si>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</si>
  <si>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</si>
  <si>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</si>
  <si>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</si>
  <si>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</si>
  <si>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</si>
  <si>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</si>
  <si>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</si>
  <si>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</si>
  <si>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</si>
  <si>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</si>
  <si>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</si>
  <si>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</si>
  <si>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</si>
  <si>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</si>
  <si>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</si>
  <si>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</si>
  <si>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</si>
  <si>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</si>
  <si>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</si>
  <si>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</si>
  <si>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</si>
  <si>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</si>
  <si>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</si>
  <si>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</si>
  <si>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</si>
  <si>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</si>
  <si>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</si>
  <si>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</si>
  <si>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</si>
  <si>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</si>
  <si>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</si>
  <si>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</si>
  <si>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</si>
  <si>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</si>
  <si>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</si>
  <si>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</si>
  <si>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</si>
  <si>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</si>
  <si>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</si>
  <si>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</si>
  <si>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</si>
  <si>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</si>
  <si>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</si>
  <si>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</si>
  <si>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</si>
  <si>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</si>
  <si>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</si>
  <si>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</si>
  <si>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</si>
  <si>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</si>
  <si>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</si>
  <si>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</si>
  <si>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</si>
  <si>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</si>
  <si>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</si>
  <si>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</si>
  <si>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</si>
  <si>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</si>
  <si>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</si>
  <si>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</si>
  <si>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</si>
  <si>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</si>
  <si>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</si>
  <si>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</si>
  <si>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</si>
  <si>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</si>
  <si>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</si>
  <si>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</si>
  <si>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</si>
  <si>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</si>
  <si>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</si>
  <si>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</si>
  <si>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</si>
  <si>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</si>
  <si>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</si>
  <si>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</si>
  <si>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</si>
  <si>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</si>
  <si>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</si>
  <si>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</si>
  <si>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</si>
  <si>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</si>
  <si>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</si>
  <si>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</si>
  <si>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</si>
  <si>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</si>
  <si>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</si>
  <si>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</si>
  <si>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</si>
  <si>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</si>
  <si>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</si>
  <si>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</si>
  <si>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</si>
  <si>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</si>
  <si>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</si>
  <si>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</si>
  <si>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</si>
  <si>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</si>
  <si>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</si>
  <si>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</si>
  <si>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</si>
  <si>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</si>
  <si>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</si>
  <si>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</si>
  <si>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</si>
  <si>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</si>
  <si>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</si>
  <si>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</si>
  <si>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</si>
  <si>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</si>
  <si>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</si>
  <si>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</si>
  <si>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</si>
  <si>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</si>
  <si>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</si>
  <si>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</si>
  <si>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</si>
  <si>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</si>
  <si>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</si>
  <si>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</si>
  <si>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</si>
  <si>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</si>
  <si>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</si>
  <si>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</si>
  <si>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</si>
  <si>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</si>
  <si>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</si>
  <si>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</si>
  <si>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</si>
  <si>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</si>
  <si>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</si>
  <si>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</si>
  <si>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</si>
  <si>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</si>
  <si>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</si>
  <si>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</si>
  <si>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</si>
  <si>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</si>
  <si>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</si>
  <si>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</si>
  <si>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</si>
  <si>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</si>
  <si>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</si>
  <si>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</si>
  <si>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</si>
  <si>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</si>
  <si>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</si>
  <si>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</si>
  <si>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</si>
  <si>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</si>
  <si>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</si>
  <si>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</si>
  <si>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</si>
  <si>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</si>
  <si>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</si>
  <si>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</si>
  <si>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</si>
  <si>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</si>
  <si>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</si>
  <si>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</si>
  <si>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</si>
  <si>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</si>
  <si>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</si>
  <si>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</si>
  <si>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</si>
  <si>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</si>
  <si>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</si>
  <si>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</si>
  <si>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</si>
  <si>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</si>
  <si>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</si>
  <si>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</si>
  <si>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</si>
  <si>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</si>
  <si>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</si>
  <si>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</si>
  <si>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</si>
  <si>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</si>
  <si>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</si>
  <si>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</si>
  <si>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</si>
  <si>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</si>
  <si>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</si>
  <si>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</si>
  <si>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</si>
  <si>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</si>
  <si>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</si>
  <si>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</si>
  <si>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</si>
  <si>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</si>
  <si>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</si>
  <si>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</si>
  <si>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</si>
  <si>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</si>
  <si>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</si>
  <si>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</si>
  <si>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</si>
  <si>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</si>
  <si>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</si>
  <si>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</si>
  <si>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</si>
  <si>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</si>
  <si>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</si>
  <si>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</si>
  <si>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</si>
  <si>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</si>
  <si>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</si>
  <si>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</si>
  <si>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</si>
  <si>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</si>
  <si>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</si>
  <si>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</si>
  <si>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</si>
  <si>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</si>
  <si>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</si>
  <si>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</si>
  <si>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</si>
  <si>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</si>
  <si>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</si>
  <si>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</si>
  <si>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</si>
  <si>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</si>
  <si>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</si>
  <si>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</si>
  <si>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</si>
  <si>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</si>
  <si>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</si>
  <si>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</si>
  <si>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</si>
  <si>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</si>
  <si>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</si>
  <si>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</si>
  <si>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</si>
  <si>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</si>
  <si>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</si>
  <si>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</si>
  <si>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</si>
  <si>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</si>
  <si>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</si>
  <si>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</si>
  <si>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</si>
  <si>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</si>
  <si>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</si>
  <si>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</si>
  <si>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</si>
  <si>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</si>
  <si>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</si>
  <si>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</si>
  <si>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</si>
  <si>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</si>
  <si>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</si>
  <si>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</si>
  <si>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</si>
  <si>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</si>
  <si>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</si>
  <si>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</si>
  <si>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</si>
  <si>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</si>
  <si>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</si>
  <si>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</si>
  <si>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</si>
  <si>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</si>
  <si>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</si>
  <si>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</si>
  <si>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</si>
  <si>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</si>
  <si>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</si>
  <si>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</si>
  <si>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</si>
  <si>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</si>
  <si>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</si>
  <si>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</si>
  <si>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</si>
  <si>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</si>
  <si>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</si>
  <si>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</si>
  <si>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</si>
  <si>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</si>
  <si>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</si>
  <si>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</si>
  <si>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</si>
  <si>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</si>
  <si>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</si>
  <si>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</si>
  <si>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</si>
  <si>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</si>
  <si>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</si>
  <si>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</si>
  <si>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</si>
  <si>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</si>
  <si>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</si>
  <si>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</si>
  <si>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</si>
  <si>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</si>
  <si>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</si>
  <si>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</si>
  <si>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</si>
  <si>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</si>
  <si>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</si>
  <si>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</si>
  <si>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</si>
  <si>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</si>
  <si>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</si>
  <si>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</si>
  <si>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</si>
  <si>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</si>
  <si>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</si>
  <si>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</si>
  <si>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</si>
  <si>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</si>
  <si>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</si>
  <si>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</si>
  <si>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</si>
  <si>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</si>
  <si>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</si>
  <si>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</si>
  <si>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</si>
  <si>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</si>
  <si>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</si>
  <si>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</si>
  <si>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</si>
  <si>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</si>
  <si>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</si>
  <si>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</si>
  <si>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</si>
  <si>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</si>
  <si>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</si>
  <si>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</si>
  <si>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</si>
  <si>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</si>
  <si>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</si>
  <si>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</si>
  <si>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</si>
  <si>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</si>
  <si>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</si>
  <si>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</si>
  <si>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</si>
  <si>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</si>
  <si>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</si>
  <si>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</si>
  <si>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</si>
  <si>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</si>
  <si>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</si>
  <si>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</si>
  <si>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</si>
  <si>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</si>
  <si>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</si>
  <si>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</si>
  <si>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</si>
  <si>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</si>
  <si>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</si>
  <si>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</si>
  <si>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</si>
  <si>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</si>
  <si>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</si>
  <si>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</si>
  <si>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</si>
  <si>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</si>
  <si>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</si>
  <si>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</si>
  <si>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</si>
  <si>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</si>
  <si>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</si>
  <si>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</si>
  <si>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</si>
  <si>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</si>
  <si>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</si>
  <si>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</si>
  <si>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</si>
  <si>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</si>
  <si>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</si>
  <si>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</si>
  <si>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</si>
  <si>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</si>
  <si>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</si>
  <si>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</si>
  <si>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</si>
  <si>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</si>
  <si>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</si>
  <si>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</si>
  <si>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</si>
  <si>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</si>
  <si>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</si>
  <si>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</si>
  <si>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</si>
  <si>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</si>
  <si>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</si>
  <si>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</si>
  <si>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</si>
  <si>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</si>
  <si>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</si>
  <si>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</si>
  <si>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</si>
  <si>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</si>
  <si>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</si>
  <si>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</si>
  <si>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</si>
  <si>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</si>
  <si>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</si>
  <si>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</si>
  <si>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</si>
  <si>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</si>
  <si>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</si>
  <si>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</si>
  <si>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</si>
  <si>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</si>
  <si>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</si>
  <si>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</si>
  <si>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</si>
  <si>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</si>
  <si>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</si>
  <si>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</si>
  <si>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</si>
  <si>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</si>
  <si>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</si>
  <si>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</si>
  <si>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</si>
  <si>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</si>
  <si>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</si>
  <si>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</si>
  <si>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</si>
  <si>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</si>
  <si>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</si>
  <si>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</si>
  <si>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</si>
  <si>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</si>
  <si>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</si>
  <si>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</si>
  <si>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</si>
  <si>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</si>
  <si>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</si>
  <si>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</si>
  <si>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</si>
  <si>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</si>
  <si>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</si>
  <si>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</si>
  <si>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</si>
  <si>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</si>
  <si>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</si>
  <si>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</si>
  <si>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</si>
  <si>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</si>
  <si>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</si>
  <si>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</si>
  <si>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</si>
  <si>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</si>
  <si>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</si>
  <si>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</si>
  <si>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</si>
  <si>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</si>
  <si>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</si>
  <si>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</si>
  <si>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</si>
  <si>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</si>
  <si>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</si>
  <si>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</si>
  <si>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</si>
  <si>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</si>
  <si>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</si>
  <si>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</si>
  <si>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</si>
  <si>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</si>
  <si>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</si>
  <si>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</si>
  <si>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</si>
  <si>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</si>
  <si>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</si>
  <si>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</si>
  <si>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</si>
  <si>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</si>
  <si>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</si>
  <si>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</si>
  <si>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</si>
  <si>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</si>
  <si>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</si>
  <si>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</si>
  <si>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</si>
  <si>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</si>
  <si>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</si>
  <si>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</si>
  <si>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</si>
  <si>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</si>
  <si>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</si>
  <si>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</si>
  <si>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</si>
  <si>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</si>
  <si>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</si>
  <si>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</si>
  <si>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</si>
  <si>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</si>
  <si>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</si>
  <si>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</si>
  <si>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</si>
  <si>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</si>
  <si>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</si>
  <si>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</si>
  <si>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</si>
  <si>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</si>
  <si>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</si>
  <si>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</si>
  <si>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</si>
  <si>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</si>
  <si>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</si>
  <si>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</si>
  <si>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</si>
  <si>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</si>
  <si>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</si>
  <si>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</si>
  <si>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</si>
  <si>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</si>
  <si>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</si>
  <si>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</si>
  <si>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</si>
  <si>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</si>
  <si>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</si>
  <si>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</si>
  <si>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</si>
  <si>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</si>
  <si>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</si>
  <si>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</si>
  <si>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</si>
  <si>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</si>
  <si>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</si>
  <si>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</si>
  <si>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</si>
  <si>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</si>
  <si>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</si>
  <si>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</si>
  <si>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</si>
  <si>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</si>
  <si>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</si>
  <si>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</si>
  <si>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</si>
  <si>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</si>
  <si>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</si>
  <si>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</si>
  <si>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</si>
  <si>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</si>
  <si>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</si>
  <si>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</si>
  <si>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</si>
  <si>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</si>
  <si>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</si>
  <si>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</si>
  <si>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</si>
  <si>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</si>
  <si>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</si>
  <si>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</si>
  <si>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</si>
  <si>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</si>
  <si>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</si>
  <si>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</si>
  <si>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</si>
  <si>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</si>
  <si>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</si>
  <si>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</si>
  <si>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</si>
  <si>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</si>
  <si>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</si>
  <si>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</si>
  <si>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</si>
  <si>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</si>
  <si>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</si>
  <si>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</si>
  <si>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</si>
  <si>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</si>
  <si>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</si>
  <si>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</si>
  <si>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</si>
  <si>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</si>
  <si>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</si>
  <si>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</si>
  <si>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</si>
  <si>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</si>
  <si>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</si>
  <si>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</si>
  <si>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</si>
  <si>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</si>
  <si>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</si>
  <si>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</si>
  <si>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</si>
  <si>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</si>
  <si>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</si>
  <si>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</si>
  <si>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</si>
  <si>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</si>
  <si>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</si>
  <si>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#4.5</t>
  </si>
  <si>
    <t>#7.5</t>
  </si>
  <si>
    <t>#7</t>
  </si>
  <si>
    <t>#8</t>
  </si>
  <si>
    <t>8#</t>
  </si>
  <si>
    <t>RPRO-250721-0042</t>
  </si>
  <si>
    <t>SO-250716-0110</t>
  </si>
  <si>
    <t>034-84-05 HILINER DE-7 0.7MM 54'' 235G</t>
  </si>
  <si>
    <t>OV-009408</t>
  </si>
  <si>
    <t>25-08-2025 21:05:23</t>
  </si>
  <si>
    <t>Không Giam Size</t>
  </si>
  <si>
    <t>7#</t>
  </si>
  <si>
    <t>7.5#</t>
  </si>
  <si>
    <t>#3.5</t>
  </si>
  <si>
    <t>#5</t>
  </si>
  <si>
    <t>#6.5</t>
  </si>
  <si>
    <t>RPRO-250722-0418</t>
  </si>
  <si>
    <t>SO-250721-0669</t>
  </si>
  <si>
    <t>19-3901TCX YH-S817A EPM5 (100% REC.PES) 44" 220G</t>
  </si>
  <si>
    <t>OV-007897</t>
  </si>
  <si>
    <t>25-08-2025 21:18:19</t>
  </si>
  <si>
    <t>#3</t>
  </si>
  <si>
    <t>#4</t>
  </si>
  <si>
    <t>#5.5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</si>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</sst>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6"/>
  <sheetViews>
    <sheetView zoomScale="115" zoomScaleNormal="115" workbookViewId="0">
      <pane xSplit="1" ySplit="1" topLeftCell="B246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1209</v>
      </c>
      <c r="B252" t="s">
        <v>1210</v>
      </c>
      <c r="C252" t="s">
        <v>98</v>
      </c>
      <c r="D252" t="s">
        <v>15</v>
      </c>
      <c r="E252" t="s">
        <v>99</v>
      </c>
      <c r="F252" t="s">
        <v>700</v>
      </c>
      <c r="G252" t="s">
        <v>1211</v>
      </c>
      <c r="H252" t="s">
        <v>1212</v>
      </c>
      <c r="I252">
        <v>62</v>
      </c>
      <c r="J252" t="s">
        <v>1213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1220</v>
      </c>
      <c r="B253" t="s">
        <v>1221</v>
      </c>
      <c r="C253" t="s">
        <v>848</v>
      </c>
      <c r="D253" t="s">
        <v>47</v>
      </c>
      <c r="E253" t="s">
        <v>293</v>
      </c>
      <c r="F253" t="s">
        <v>676</v>
      </c>
      <c r="G253" t="s">
        <v>1222</v>
      </c>
      <c r="H253" t="s">
        <v>1223</v>
      </c>
      <c r="I253">
        <v>16</v>
      </c>
      <c r="J253" t="s">
        <v>1224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1228</v>
      </c>
      <c r="B254" t="s">
        <v>1229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1230</v>
      </c>
      <c r="I254">
        <v>64</v>
      </c>
      <c r="J254" t="s">
        <v>1231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1232</v>
      </c>
      <c r="B255" t="s">
        <v>1233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1234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1235</v>
      </c>
      <c r="B256" t="s">
        <v>1236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1237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E1" sqref="E1:F1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1214</v>
      </c>
      <c r="F1" s="36"/>
    </row>
    <row r="2" spans="1:13" ht="45" customHeight="1" x14ac:dyDescent="0.25">
      <c r="A2" s="2" t="s">
        <v>383</v>
      </c>
      <c r="B2" s="28" t="s">
        <v>1189</v>
      </c>
      <c r="C2" s="1" t="s">
        <v>384</v>
      </c>
      <c r="D2" s="11" t="s">
        <v>276</v>
      </c>
      <c r="E2" s="7" t="s">
        <v>385</v>
      </c>
      <c r="F2" s="27" t="s">
        <v>1215</v>
      </c>
    </row>
    <row r="3" spans="1:13" ht="45" customHeight="1" x14ac:dyDescent="0.25">
      <c r="A3" s="2" t="s">
        <v>386</v>
      </c>
      <c r="B3" s="26" t="s">
        <v>1193</v>
      </c>
      <c r="C3" s="1" t="s">
        <v>387</v>
      </c>
      <c r="D3" s="11" t="s">
        <v>171</v>
      </c>
      <c r="E3" s="7" t="s">
        <v>388</v>
      </c>
      <c r="F3" s="27" t="s">
        <v>1215</v>
      </c>
    </row>
    <row r="4" spans="1:13" ht="45" customHeight="1" x14ac:dyDescent="0.25">
      <c r="A4" s="2" t="s">
        <v>389</v>
      </c>
      <c r="B4" s="34" t="s">
        <v>201</v>
      </c>
      <c r="C4" s="34"/>
      <c r="D4" s="34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2" t="s">
        <v>1195</v>
      </c>
      <c r="C5" s="31"/>
      <c r="D5" s="12" t="s">
        <v>392</v>
      </c>
      <c r="E5" s="32" t="s">
        <v>1192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Không Giam Size</v>
      </c>
      <c r="F6" s="36"/>
    </row>
    <row r="7" spans="1:13" ht="45" customHeight="1" x14ac:dyDescent="0.25">
      <c r="A7" s="2" t="s">
        <v>383</v>
      </c>
      <c r="B7" s="28" t="str">
        <f>B2</f>
        <v>RPRO-250620-0255</v>
      </c>
      <c r="C7" s="1" t="s">
        <v>384</v>
      </c>
      <c r="D7" s="11" t="str">
        <f>D2</f>
        <v>OV-0286</v>
      </c>
      <c r="E7" s="7" t="s">
        <v>385</v>
      </c>
      <c r="F7" s="27" t="s">
        <v>1216</v>
      </c>
    </row>
    <row r="8" spans="1:13" ht="45" customHeight="1" x14ac:dyDescent="0.25">
      <c r="A8" s="2" t="s">
        <v>386</v>
      </c>
      <c r="B8" s="26" t="str">
        <f>B3</f>
        <v>OV-008605</v>
      </c>
      <c r="C8" s="1" t="s">
        <v>387</v>
      </c>
      <c r="D8" s="11" t="str">
        <f>D3</f>
        <v>Unisex</v>
      </c>
      <c r="E8" s="7" t="s">
        <v>388</v>
      </c>
      <c r="F8" s="27" t="s">
        <v>1216</v>
      </c>
    </row>
    <row r="9" spans="1:13" ht="45" customHeight="1" x14ac:dyDescent="0.25">
      <c r="A9" s="2" t="s">
        <v>389</v>
      </c>
      <c r="B9" s="34" t="str">
        <f>B4</f>
        <v>VMC ROYAL CO., LTD / SUPER TRADE OVERSEAS</v>
      </c>
      <c r="C9" s="34"/>
      <c r="D9" s="34"/>
      <c r="E9" s="7" t="s">
        <v>390</v>
      </c>
      <c r="F9" s="27">
        <v>19</v>
      </c>
    </row>
    <row r="10" spans="1:13" ht="35.1" customHeight="1" thickBot="1" x14ac:dyDescent="0.3">
      <c r="A10" s="3" t="s">
        <v>391</v>
      </c>
      <c r="B10" s="31" t="str">
        <f>B5</f>
        <v>0259+0263</v>
      </c>
      <c r="C10" s="31"/>
      <c r="D10" s="12" t="s">
        <v>392</v>
      </c>
      <c r="E10" s="32" t="str">
        <f>E5</f>
        <v>003-75-06 GT-L00173H (82% POLYESTER,18% SPANDEX) 58" 220G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Không Giam Size</v>
      </c>
      <c r="F11" s="36"/>
    </row>
    <row r="12" spans="1:13" ht="45" customHeight="1" x14ac:dyDescent="0.25">
      <c r="A12" s="2" t="s">
        <v>383</v>
      </c>
      <c r="B12" s="28" t="str">
        <f>B7</f>
        <v>RPRO-250620-0255</v>
      </c>
      <c r="C12" s="1" t="s">
        <v>384</v>
      </c>
      <c r="D12" s="11" t="s">
        <v>1113</v>
      </c>
      <c r="E12" s="7" t="s">
        <v>385</v>
      </c>
      <c r="F12" s="27" t="s">
        <v>1208</v>
      </c>
    </row>
    <row r="13" spans="1:13" ht="45" customHeight="1" x14ac:dyDescent="0.25">
      <c r="A13" s="2" t="s">
        <v>393</v>
      </c>
      <c r="B13" s="26" t="str">
        <f>B8</f>
        <v>OV-008605</v>
      </c>
      <c r="C13" s="1" t="s">
        <v>387</v>
      </c>
      <c r="D13" s="11" t="s">
        <v>1113</v>
      </c>
      <c r="E13" s="7" t="s">
        <v>388</v>
      </c>
      <c r="F13" s="27" t="s">
        <v>1208</v>
      </c>
    </row>
    <row r="14" spans="1:13" ht="45" customHeight="1" x14ac:dyDescent="0.25">
      <c r="A14" s="2" t="s">
        <v>389</v>
      </c>
      <c r="B14" s="34" t="str">
        <f>B9</f>
        <v>VMC ROYAL CO., LTD / SUPER TRADE OVERSEAS</v>
      </c>
      <c r="C14" s="34"/>
      <c r="D14" s="34"/>
      <c r="E14" s="7" t="s">
        <v>390</v>
      </c>
      <c r="F14" s="27">
        <v>5</v>
      </c>
    </row>
    <row r="15" spans="1:13" ht="35.1" customHeight="1" thickBot="1" x14ac:dyDescent="0.3">
      <c r="A15" s="3" t="s">
        <v>391</v>
      </c>
      <c r="B15" s="31" t="str">
        <f>B10</f>
        <v>0259+0263</v>
      </c>
      <c r="C15" s="31"/>
      <c r="D15" s="12" t="s">
        <v>392</v>
      </c>
      <c r="E15" s="32" t="str">
        <f>E10</f>
        <v>003-75-06 GT-L00173H (82% POLYESTER,18% SPANDEX) 58" 220G</v>
      </c>
      <c r="F15" s="33"/>
    </row>
    <row r="16" spans="1:13" ht="60" customHeight="1" x14ac:dyDescent="0.3">
      <c r="A16" s="37" t="s">
        <v>382</v>
      </c>
      <c r="B16" s="38"/>
      <c r="C16" s="38"/>
      <c r="D16" s="38"/>
      <c r="E16" s="35" t="str">
        <f>E11</f>
        <v>Không Giam Size</v>
      </c>
      <c r="F16" s="36"/>
    </row>
    <row r="17" spans="1:6" ht="45" customHeight="1" x14ac:dyDescent="0.25">
      <c r="A17" s="2" t="s">
        <v>383</v>
      </c>
      <c r="B17" s="28" t="str">
        <f>B12</f>
        <v>RPRO-250620-0255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OV-008605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4" t="str">
        <f>B14</f>
        <v>VMC ROYAL CO., LTD / SUPER TRADE OVERSEAS</v>
      </c>
      <c r="C19" s="34"/>
      <c r="D19" s="34"/>
      <c r="E19" s="7" t="s">
        <v>390</v>
      </c>
      <c r="F19" s="27"/>
    </row>
    <row r="20" spans="1:6" ht="50.1" customHeight="1" thickBot="1" x14ac:dyDescent="0.3">
      <c r="A20" s="3" t="s">
        <v>391</v>
      </c>
      <c r="B20" s="31" t="str">
        <f>B15</f>
        <v>0259+0263</v>
      </c>
      <c r="C20" s="31"/>
      <c r="D20" s="12" t="s">
        <v>392</v>
      </c>
      <c r="E20" s="32" t="str">
        <f>E15</f>
        <v>003-75-06 GT-L00173H (82% POLYESTER,18% SPANDEX) 58" 220G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VMC ROYAL CO., LTD / SUPER TRADE OVERSEAS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 t="str">
        <f>B20</f>
        <v>0259+0263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0" zoomScale="85" zoomScaleNormal="100" zoomScaleSheetLayoutView="85" workbookViewId="0">
      <selection activeCell="G1" sqref="G1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1189</v>
      </c>
      <c r="C2" s="17" t="s">
        <v>386</v>
      </c>
      <c r="D2" s="14" t="s">
        <v>1193</v>
      </c>
    </row>
    <row r="3" spans="1:4" ht="24" customHeight="1" x14ac:dyDescent="0.25">
      <c r="A3" s="17" t="s">
        <v>396</v>
      </c>
      <c r="B3" s="14" t="s">
        <v>1190</v>
      </c>
      <c r="C3" s="17" t="s">
        <v>397</v>
      </c>
      <c r="D3" s="14" t="s">
        <v>276</v>
      </c>
    </row>
    <row r="4" spans="1:4" ht="72.75" customHeight="1" x14ac:dyDescent="0.25">
      <c r="A4" s="18" t="s">
        <v>398</v>
      </c>
      <c r="B4" s="19" t="s">
        <v>201</v>
      </c>
      <c r="C4" s="18" t="s">
        <v>399</v>
      </c>
      <c r="D4" s="19" t="s">
        <v>1192</v>
      </c>
    </row>
    <row r="5" spans="1:4" ht="24" customHeight="1" x14ac:dyDescent="0.25">
      <c r="A5" s="17" t="s">
        <v>400</v>
      </c>
      <c r="B5" s="23" t="s">
        <v>1195</v>
      </c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117</v>
      </c>
    </row>
    <row r="7" spans="1:4" ht="24.95" customHeight="1" x14ac:dyDescent="0.25">
      <c r="A7" s="16" t="s">
        <v>1225</v>
      </c>
      <c r="B7" s="16" t="s">
        <v>1225</v>
      </c>
      <c r="C7" s="22">
        <v>6</v>
      </c>
      <c r="D7" s="16"/>
    </row>
    <row r="8" spans="1:4" ht="24.95" customHeight="1" x14ac:dyDescent="0.25">
      <c r="A8" s="16" t="s">
        <v>1217</v>
      </c>
      <c r="B8" s="16" t="s">
        <v>1217</v>
      </c>
      <c r="C8" s="22">
        <v>20</v>
      </c>
      <c r="D8" s="16"/>
    </row>
    <row r="9" spans="1:4" ht="24.95" customHeight="1" x14ac:dyDescent="0.25">
      <c r="A9" s="16" t="s">
        <v>1226</v>
      </c>
      <c r="B9" s="16" t="s">
        <v>1226</v>
      </c>
      <c r="C9" s="22">
        <v>25</v>
      </c>
      <c r="D9" s="16"/>
    </row>
    <row r="10" spans="1:4" ht="24.95" customHeight="1" x14ac:dyDescent="0.25">
      <c r="A10" s="16" t="s">
        <v>1204</v>
      </c>
      <c r="B10" s="16" t="s">
        <v>1204</v>
      </c>
      <c r="C10" s="22">
        <v>22</v>
      </c>
      <c r="D10" s="16"/>
    </row>
    <row r="11" spans="1:4" ht="24.95" customHeight="1" x14ac:dyDescent="0.25">
      <c r="A11" s="16" t="s">
        <v>1218</v>
      </c>
      <c r="B11" s="16" t="s">
        <v>1218</v>
      </c>
      <c r="C11" s="22">
        <v>2</v>
      </c>
      <c r="D11" s="16"/>
    </row>
    <row r="12" spans="1:4" ht="24.95" customHeight="1" x14ac:dyDescent="0.25">
      <c r="A12" s="16" t="s">
        <v>1227</v>
      </c>
      <c r="B12" s="16" t="s">
        <v>1227</v>
      </c>
      <c r="C12" s="22">
        <v>6</v>
      </c>
      <c r="D12" s="16"/>
    </row>
    <row r="13" spans="1:4" ht="24.95" customHeight="1" x14ac:dyDescent="0.25">
      <c r="A13" s="16" t="s">
        <v>1203</v>
      </c>
      <c r="B13" s="16" t="s">
        <v>1203</v>
      </c>
      <c r="C13" s="22">
        <v>5</v>
      </c>
      <c r="D13" s="16"/>
    </row>
    <row r="14" spans="1:4" ht="24.95" customHeight="1" x14ac:dyDescent="0.25">
      <c r="A14" s="16" t="s">
        <v>1219</v>
      </c>
      <c r="B14" s="16" t="s">
        <v>1219</v>
      </c>
      <c r="C14" s="22">
        <v>5</v>
      </c>
      <c r="D14" s="16"/>
    </row>
    <row r="15" spans="1:4" ht="24.95" customHeight="1" x14ac:dyDescent="0.25">
      <c r="A15" s="16" t="s">
        <v>1206</v>
      </c>
      <c r="B15" s="16" t="s">
        <v>1206</v>
      </c>
      <c r="C15" s="22">
        <v>2</v>
      </c>
      <c r="D15" s="16"/>
    </row>
    <row r="16" spans="1:4" ht="24.95" customHeight="1" x14ac:dyDescent="0.25">
      <c r="A16" s="16" t="s">
        <v>1205</v>
      </c>
      <c r="B16" s="16" t="s">
        <v>1205</v>
      </c>
      <c r="C16" s="22">
        <v>19</v>
      </c>
      <c r="D16" s="16"/>
    </row>
    <row r="17" spans="1:6" ht="24.95" customHeight="1" x14ac:dyDescent="0.25">
      <c r="A17" s="16" t="s">
        <v>1207</v>
      </c>
      <c r="B17" s="16" t="s">
        <v>1207</v>
      </c>
      <c r="C17" s="22">
        <v>5</v>
      </c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b65cb79d-c821-4d3d-aab2-5ef15e9cc85e"/>
    <ds:schemaRef ds:uri="71b44b8b-5734-40bc-bcd6-983774da7c1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SYN</vt:lpstr>
      <vt:lpstr>TEMPLATE</vt:lpstr>
      <vt:lpstr>Sheet1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2025-08-25T15:43:55Z</cp:lastPrinted>
  <dcterms:created xsi:type="dcterms:W3CDTF">2025-07-23T17:12:12Z</dcterms:created>
  <dcterms:modified xsi:type="dcterms:W3CDTF">2025-08-25T15:44:12Z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