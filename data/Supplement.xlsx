
<file path=[Content_Types].xml><?xml version="1.0" encoding="utf-8"?>
<Types xmlns="http://schemas.openxmlformats.org/package/2006/content-types">
  <Default Extension="bin" ContentType="application/vnd.ms-excel.sheet.binary.macroEnabled.main"/>
  <Default Extension="bmp" ContentType="image/bmp"/>
  <Default Extension="data" ContentType="application/vnd.openxmlformats-officedocument.model+data"/>
  <Default Extension="emf" ContentType="image/x-emf"/>
  <Default Extension="gif" ContentType="image/gif"/>
  <Default Extension="jpeg" ContentType="image/jpeg"/>
  <Default Extension="jpg" ContentType="image/jpeg"/>
  <Default Extension="pdf" ContentType="application/pdf"/>
  <Default Extension="png" ContentType="image/png"/>
  <Default Extension="rels" ContentType="application/vnd.openxmlformats-package.relationships+xml"/>
  <Default Extension="tif" ContentType="image/tiff"/>
  <Default Extension="tiff" ContentType="image/tiff"/>
  <Default Extension="vml" ContentType="application/vnd.openxmlformats-officedocument.vmlDrawing"/>
  <Default Extension="wmf" ContentType="image/x-wmf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metadata.xml" ContentType="application/vnd.openxmlformats-officedocument.spreadsheetml.sheetMetadata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pplemen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B9"/>
  <sheetViews>
    <sheetView workbookViewId="0" rightToLeft="0"/>
  </sheetViews>
  <sheetData>
    <row r="1">
      <c r="A1" t="str">
        <v>RPRO</v>
      </c>
      <c r="B1" t="str">
        <v>Giới tính</v>
      </c>
      <c r="C1" t="str">
        <v>Mã khuôn</v>
      </c>
      <c r="D1" t="str">
        <v>Mã dao</v>
      </c>
      <c r="E1" t="str">
        <v>Vải</v>
      </c>
      <c r="F1" t="str">
        <v>BOM</v>
      </c>
      <c r="G1" t="str">
        <v>TOTAL</v>
      </c>
      <c r="H1">
        <v>1</v>
      </c>
      <c r="I1">
        <f>H1+0.5</f>
        <v>1.5</v>
      </c>
      <c r="J1">
        <f>I1+0.5</f>
        <v>2</v>
      </c>
      <c r="K1">
        <f>J1+0.5</f>
        <v>2.5</v>
      </c>
      <c r="L1">
        <f>K1+0.5</f>
        <v>3</v>
      </c>
      <c r="M1">
        <f>L1+0.5</f>
        <v>3.5</v>
      </c>
      <c r="N1">
        <f>M1+0.5</f>
        <v>4</v>
      </c>
      <c r="O1">
        <f>N1+0.5</f>
        <v>4.5</v>
      </c>
      <c r="P1">
        <f>O1+0.5</f>
        <v>5</v>
      </c>
      <c r="Q1">
        <f>P1+0.5</f>
        <v>5.5</v>
      </c>
      <c r="R1">
        <f>Q1+0.5</f>
        <v>6</v>
      </c>
      <c r="S1">
        <f>R1+0.5</f>
        <v>6.5</v>
      </c>
      <c r="T1">
        <f>S1+0.5</f>
        <v>7</v>
      </c>
      <c r="U1">
        <f>T1+0.5</f>
        <v>7.5</v>
      </c>
      <c r="V1">
        <f>U1+0.5</f>
        <v>8</v>
      </c>
      <c r="W1">
        <f>V1+0.5</f>
        <v>8.5</v>
      </c>
      <c r="X1">
        <f>W1+0.5</f>
        <v>9</v>
      </c>
      <c r="Y1">
        <f>X1+0.5</f>
        <v>9.5</v>
      </c>
      <c r="Z1">
        <f>Y1+0.5</f>
        <v>10</v>
      </c>
      <c r="AA1">
        <f>Z1+0.5</f>
        <v>10.5</v>
      </c>
      <c r="AB1">
        <f>AA1+0.5</f>
        <v>11</v>
      </c>
      <c r="AC1">
        <f>AB1+0.5</f>
        <v>11.5</v>
      </c>
      <c r="AD1">
        <f>AC1+0.5</f>
        <v>12</v>
      </c>
      <c r="AE1">
        <f>AD1+0.5</f>
        <v>12.5</v>
      </c>
      <c r="AF1">
        <f>AE1+0.5</f>
        <v>13</v>
      </c>
      <c r="AG1">
        <f>AF1+0.5</f>
        <v>13.5</v>
      </c>
      <c r="AH1">
        <f>AG1+0.5</f>
        <v>14</v>
      </c>
      <c r="AI1">
        <f>AH1+0.5</f>
        <v>14.5</v>
      </c>
      <c r="AJ1">
        <f>AI1+0.5</f>
        <v>15</v>
      </c>
      <c r="AK1">
        <f>AJ1+0.5</f>
        <v>15.5</v>
      </c>
      <c r="AL1">
        <f>AK1+0.5</f>
        <v>16</v>
      </c>
      <c r="AM1">
        <f>AL1+0.5</f>
        <v>16.5</v>
      </c>
      <c r="AN1">
        <f>AM1+0.5</f>
        <v>17</v>
      </c>
      <c r="AO1">
        <f>AN1+0.5</f>
        <v>17.5</v>
      </c>
      <c r="AP1">
        <f>AO1+0.5</f>
        <v>18</v>
      </c>
      <c r="AQ1">
        <f>AP1+0.5</f>
        <v>18.5</v>
      </c>
      <c r="AR1">
        <f>AQ1+0.5</f>
        <v>19</v>
      </c>
      <c r="AS1">
        <f>AR1+0.5</f>
        <v>19.5</v>
      </c>
      <c r="AT1">
        <f>AS1+0.5</f>
        <v>20</v>
      </c>
      <c r="AU1">
        <f>AT1+0.5</f>
        <v>20.5</v>
      </c>
      <c r="AV1">
        <f>AU1+0.5</f>
        <v>21</v>
      </c>
      <c r="AW1">
        <v>22</v>
      </c>
      <c r="AX1">
        <v>23</v>
      </c>
      <c r="AY1">
        <v>24</v>
      </c>
      <c r="AZ1">
        <v>25</v>
      </c>
      <c r="BA1">
        <v>26</v>
      </c>
      <c r="BB1">
        <v>27</v>
      </c>
      <c r="BC1">
        <v>28</v>
      </c>
      <c r="BD1">
        <v>29</v>
      </c>
      <c r="BE1">
        <v>30</v>
      </c>
      <c r="BF1">
        <v>31</v>
      </c>
      <c r="BG1">
        <v>32</v>
      </c>
      <c r="BH1">
        <v>33</v>
      </c>
      <c r="BI1">
        <v>34</v>
      </c>
      <c r="BJ1">
        <v>35</v>
      </c>
      <c r="BK1">
        <v>36</v>
      </c>
      <c r="BL1">
        <v>37</v>
      </c>
      <c r="BM1">
        <v>38</v>
      </c>
      <c r="BN1">
        <v>39</v>
      </c>
      <c r="BO1">
        <v>40</v>
      </c>
      <c r="BP1">
        <v>41</v>
      </c>
      <c r="BQ1">
        <v>42</v>
      </c>
      <c r="BR1">
        <v>43</v>
      </c>
      <c r="BS1">
        <v>44</v>
      </c>
      <c r="BT1">
        <v>45</v>
      </c>
      <c r="BU1">
        <v>46</v>
      </c>
      <c r="BV1">
        <v>47</v>
      </c>
      <c r="BW1">
        <v>48</v>
      </c>
      <c r="BX1">
        <v>49</v>
      </c>
      <c r="BY1">
        <v>50</v>
      </c>
      <c r="BZ1">
        <v>0</v>
      </c>
      <c r="CA1">
        <v>0</v>
      </c>
    </row>
    <row r="2">
      <c r="A2" t="str">
        <v>RPRO-250626-0096</v>
      </c>
      <c r="B2" t="str">
        <v>Men's</v>
      </c>
      <c r="C2" t="str">
        <v>DIE-CUT</v>
      </c>
      <c r="D2" t="str">
        <v>JV1-0695-3(arch skive)</v>
      </c>
      <c r="E2" t="str">
        <v>145-17-00 LJ-B1-1-VEPM5 44" 180G</v>
      </c>
      <c r="F2" t="str">
        <v>DC-010097</v>
      </c>
      <c r="G2">
        <v>8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2</v>
      </c>
      <c r="T2">
        <v>0</v>
      </c>
      <c r="U2">
        <v>0</v>
      </c>
      <c r="V2">
        <v>0</v>
      </c>
      <c r="W2">
        <v>6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</row>
    <row r="3">
      <c r="A3" t="str">
        <v>RPRO-250526-0514</v>
      </c>
      <c r="B3" t="str">
        <v>Women's</v>
      </c>
      <c r="C3" t="str">
        <v>OE-0198</v>
      </c>
      <c r="D3" t="str">
        <v>QD-39 (M-0502)</v>
      </c>
      <c r="E3" t="str">
        <v>71R EPM MERRY MESH(LJB-730) 44" 220G</v>
      </c>
      <c r="F3" t="str">
        <v>OE-007434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</row>
    <row r="4">
      <c r="A4" t="str">
        <v>RPRO-250610-0389</v>
      </c>
      <c r="B4" t="str">
        <v>Men's</v>
      </c>
      <c r="C4" t="str">
        <v>OV-0256</v>
      </c>
      <c r="D4" t="str">
        <v>21-005-M-Low (M-0235)</v>
      </c>
      <c r="E4" t="str">
        <v>19-1624TCX YH-S817A EPM5 (100% REC.PES) 44" 220G</v>
      </c>
      <c r="F4" t="str">
        <v>OV-008378</v>
      </c>
      <c r="G4">
        <v>26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25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</row>
    <row r="5">
      <c r="A5" t="str">
        <v>RPRO-250626-0096</v>
      </c>
      <c r="B5" t="str">
        <v>Men's</v>
      </c>
      <c r="C5" t="str">
        <v>DIE-CUT</v>
      </c>
      <c r="D5" t="str">
        <v>JV1-0695-3(arch skive)</v>
      </c>
      <c r="E5" t="str">
        <v>145-17-00 LJ-B1-1-VEPM5 44" 180G</v>
      </c>
      <c r="F5" t="str">
        <v>DC-010097</v>
      </c>
      <c r="G5">
        <v>8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2</v>
      </c>
      <c r="T5">
        <v>0</v>
      </c>
      <c r="U5">
        <v>0</v>
      </c>
      <c r="V5">
        <v>0</v>
      </c>
      <c r="W5">
        <v>6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</row>
    <row r="6">
      <c r="A6" t="str">
        <v>RPRO-250526-0514</v>
      </c>
      <c r="B6" t="str">
        <v>Women's</v>
      </c>
      <c r="C6" t="str">
        <v>OE-0198</v>
      </c>
      <c r="D6" t="str">
        <v>QD-39 (M-0502)</v>
      </c>
      <c r="E6" t="str">
        <v>71R EPM MERRY MESH(LJB-730) 44" 220G</v>
      </c>
      <c r="F6" t="str">
        <v>OE-007434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</row>
    <row r="7">
      <c r="A7" t="str">
        <v>RPRO-250610-0389</v>
      </c>
      <c r="B7" t="str">
        <v>Men's</v>
      </c>
      <c r="C7" t="str">
        <v>OV-0256</v>
      </c>
      <c r="D7" t="str">
        <v>21-005-M-Low (M-0235)</v>
      </c>
      <c r="E7" t="str">
        <v>19-1624TCX YH-S817A EPM5 (100% REC.PES) 44" 220G</v>
      </c>
      <c r="F7" t="str">
        <v>OV-008378</v>
      </c>
      <c r="G7">
        <v>26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25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</row>
    <row r="8">
      <c r="A8" t="str">
        <v>RPRO-250606-0428</v>
      </c>
      <c r="B8" t="str">
        <v>Men's</v>
      </c>
      <c r="C8" t="str">
        <v>OV-0256</v>
      </c>
      <c r="D8" t="str">
        <v>ON-112 (M-0236)</v>
      </c>
      <c r="E8" t="str">
        <v>19-3911TCX YH-S817A EPM5 (100% REC.PES) 44" 220G</v>
      </c>
      <c r="F8" t="str">
        <v>OV-008350</v>
      </c>
      <c r="G8">
        <v>4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  <c r="V8">
        <v>3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</row>
  </sheetData>
  <pageMargins left="0.7" right="0.7" top="0.75" bottom="0.75" header="0.3" footer="0.3"/>
  <ignoredErrors>
    <ignoredError numberStoredAsText="1" sqref="A1:CB9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E4A2EC36-4C36-4AC4-A4F8-8D5724A706EE}"/>
</file>

<file path=customXml/itemProps2.xml><?xml version="1.0" encoding="utf-8"?>
<ds:datastoreItem xmlns:ds="http://schemas.openxmlformats.org/officeDocument/2006/customXml" ds:itemID="{F1649B39-C370-4C94-87EB-4139FE1E2547}"/>
</file>

<file path=customXml/itemProps3.xml><?xml version="1.0" encoding="utf-8"?>
<ds:datastoreItem xmlns:ds="http://schemas.openxmlformats.org/officeDocument/2006/customXml" ds:itemID="{91A25EBB-2661-42F5-8DC2-FCDD4898E9C0}"/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2025-07-23T15:25:33Z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